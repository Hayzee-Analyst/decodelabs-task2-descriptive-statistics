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e485bfcf2685a0/Documents/"/>
    </mc:Choice>
  </mc:AlternateContent>
  <xr:revisionPtr revIDLastSave="46" documentId="8_{DFCDD1FD-A09C-42DC-94C2-3BD76B938926}" xr6:coauthVersionLast="47" xr6:coauthVersionMax="47" xr10:uidLastSave="{4E58BE70-A5DD-4BF4-8F70-B78FD1A3209E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6" i="1" l="1"/>
  <c r="S25" i="1"/>
  <c r="S24" i="1"/>
  <c r="S23" i="1"/>
  <c r="S22" i="1"/>
  <c r="R24" i="1"/>
  <c r="R23" i="1"/>
  <c r="R16" i="1"/>
  <c r="R25" i="1"/>
  <c r="R26" i="1"/>
  <c r="R22" i="1"/>
  <c r="R17" i="1"/>
  <c r="R15" i="1"/>
  <c r="R14" i="1"/>
  <c r="R13" i="1"/>
  <c r="T7" i="1"/>
  <c r="S7" i="1"/>
  <c r="R7" i="1"/>
  <c r="Q7" i="1"/>
  <c r="T6" i="1"/>
  <c r="S6" i="1"/>
  <c r="R6" i="1"/>
  <c r="Q6" i="1"/>
  <c r="T5" i="1"/>
  <c r="S5" i="1"/>
  <c r="R5" i="1"/>
  <c r="Q5" i="1"/>
</calcChain>
</file>

<file path=xl/sharedStrings.xml><?xml version="1.0" encoding="utf-8"?>
<sst xmlns="http://schemas.openxmlformats.org/spreadsheetml/2006/main" count="10531" uniqueCount="4300">
  <si>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</si>
  <si>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</si>
  <si>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</si>
  <si>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</si>
  <si>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</si>
  <si>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</si>
  <si>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</si>
  <si>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</si>
  <si>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</si>
  <si>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</si>
  <si>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</si>
  <si>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</si>
  <si>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</si>
  <si>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</si>
  <si>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</si>
  <si>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</si>
  <si>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</si>
  <si>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</si>
  <si>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</si>
  <si>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</si>
  <si>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</si>
  <si>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</si>
  <si>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</si>
  <si>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</si>
  <si>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</si>
  <si>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</si>
  <si>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</si>
  <si>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</si>
  <si>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</si>
  <si>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</si>
  <si>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</si>
  <si>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</si>
  <si>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</si>
  <si>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</si>
  <si>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</si>
  <si>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</si>
  <si>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</si>
  <si>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</si>
  <si>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</si>
  <si>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</si>
  <si>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</si>
  <si>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</si>
  <si>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</si>
  <si>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</si>
  <si>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</si>
  <si>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</si>
  <si>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</si>
  <si>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</si>
  <si>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</si>
  <si>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</si>
  <si>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</si>
  <si>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</si>
  <si>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</si>
  <si>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</si>
  <si>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</si>
  <si>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</si>
  <si>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</si>
  <si>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</si>
  <si>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</si>
  <si>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</si>
  <si>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</si>
  <si>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</si>
  <si>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</si>
  <si>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</si>
  <si>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</si>
  <si>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</si>
  <si>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</si>
  <si>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</si>
  <si>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</si>
  <si>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</si>
  <si>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</si>
  <si>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</si>
  <si>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</si>
  <si>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</si>
  <si>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</si>
  <si>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</si>
  <si>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</si>
  <si>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</si>
  <si>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</si>
  <si>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</si>
  <si>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</si>
  <si>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</si>
  <si>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</si>
  <si>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</si>
  <si>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</si>
  <si>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</si>
  <si>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</si>
  <si>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</si>
  <si>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</si>
  <si>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</si>
  <si>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</si>
  <si>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</si>
  <si>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</si>
  <si>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</si>
  <si>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</si>
  <si>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</si>
  <si>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</si>
  <si>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</si>
  <si>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</si>
  <si>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</si>
  <si>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</si>
  <si>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</si>
  <si>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</si>
  <si>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</si>
  <si>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</si>
  <si>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</si>
  <si>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</si>
  <si>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</si>
  <si>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</si>
  <si>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</si>
  <si>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</si>
  <si>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</si>
  <si>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</si>
  <si>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</si>
  <si>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</si>
  <si>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</si>
  <si>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</si>
  <si>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</si>
  <si>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</si>
  <si>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</si>
  <si>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</si>
  <si>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</si>
  <si>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</si>
  <si>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</si>
  <si>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</si>
  <si>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</si>
  <si>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</si>
  <si>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</si>
  <si>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</si>
  <si>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</si>
  <si>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</si>
  <si>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</si>
  <si>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</si>
  <si>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</si>
  <si>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</si>
  <si>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</si>
  <si>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</si>
  <si>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</si>
  <si>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</si>
  <si>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</si>
  <si>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</si>
  <si>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</si>
  <si>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</si>
  <si>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</si>
  <si>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</si>
  <si>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</si>
  <si>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</si>
  <si>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</si>
  <si>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</si>
  <si>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</si>
  <si>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</si>
  <si>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</si>
  <si>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</si>
  <si>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</si>
  <si>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</si>
  <si>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</si>
  <si>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</si>
  <si>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</si>
  <si>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</si>
  <si>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</si>
  <si>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</si>
  <si>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</si>
  <si>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</si>
  <si>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</si>
  <si>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</si>
  <si>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</si>
  <si>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</si>
  <si>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</si>
  <si>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</si>
  <si>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</si>
  <si>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</si>
  <si>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</si>
  <si>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</si>
  <si>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</si>
  <si>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</si>
  <si>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</si>
  <si>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</si>
  <si>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</si>
  <si>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</si>
  <si>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</si>
  <si>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</si>
  <si>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</si>
  <si>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</si>
  <si>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</si>
  <si>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</si>
  <si>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</si>
  <si>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</si>
  <si>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</si>
  <si>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</si>
  <si>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</si>
  <si>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</si>
  <si>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</si>
  <si>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</si>
  <si>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</si>
  <si>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</si>
  <si>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</si>
  <si>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</si>
  <si>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</si>
  <si>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</si>
  <si>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</si>
  <si>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</si>
  <si>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</si>
  <si>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</si>
  <si>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</si>
  <si>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</si>
  <si>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</si>
  <si>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</si>
  <si>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</si>
  <si>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</si>
  <si>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</si>
  <si>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</si>
  <si>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</si>
  <si>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</si>
  <si>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</si>
  <si>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</si>
  <si>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</si>
  <si>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</si>
  <si>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</si>
  <si>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</si>
  <si>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</si>
  <si>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</si>
  <si>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</si>
  <si>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</si>
  <si>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</si>
  <si>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</si>
  <si>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</si>
  <si>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</si>
  <si>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</si>
  <si>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</si>
  <si>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</si>
  <si>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</si>
  <si>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</si>
  <si>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</si>
  <si>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</si>
  <si>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</si>
  <si>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</si>
  <si>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</si>
  <si>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</si>
  <si>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</si>
  <si>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</si>
  <si>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</si>
  <si>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</si>
  <si>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</si>
  <si>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</si>
  <si>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</si>
  <si>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</si>
  <si>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</si>
  <si>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</si>
  <si>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</si>
  <si>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</si>
  <si>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</si>
  <si>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</si>
  <si>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</si>
  <si>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</si>
  <si>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</si>
  <si>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</si>
  <si>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</si>
  <si>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</si>
  <si>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</si>
  <si>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</si>
  <si>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</si>
  <si>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</si>
  <si>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</si>
  <si>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</si>
  <si>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</si>
  <si>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</si>
  <si>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</si>
  <si>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</si>
  <si>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</si>
  <si>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</si>
  <si>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</si>
  <si>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</si>
  <si>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</si>
  <si>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</si>
  <si>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</si>
  <si>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</si>
  <si>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</si>
  <si>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</si>
  <si>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</si>
  <si>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</si>
  <si>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</si>
  <si>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</si>
  <si>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</si>
  <si>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</si>
  <si>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</si>
  <si>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</si>
  <si>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</si>
  <si>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</si>
  <si>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</si>
  <si>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</si>
  <si>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</si>
  <si>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</si>
  <si>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</si>
  <si>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</si>
  <si>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</si>
  <si>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</si>
  <si>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</si>
  <si>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</si>
  <si>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</si>
  <si>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</si>
  <si>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</si>
  <si>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</si>
  <si>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</si>
  <si>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</si>
  <si>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</si>
  <si>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</si>
  <si>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</si>
  <si>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</si>
  <si>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</si>
  <si>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</si>
  <si>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</si>
  <si>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</si>
  <si>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</si>
  <si>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</si>
  <si>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</si>
  <si>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</si>
  <si>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</si>
  <si>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</si>
  <si>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</si>
  <si>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</si>
  <si>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</si>
  <si>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</si>
  <si>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</si>
  <si>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</si>
  <si>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</si>
  <si>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</si>
  <si>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</si>
  <si>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</si>
  <si>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</si>
  <si>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</si>
  <si>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</si>
  <si>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</si>
  <si>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</si>
  <si>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</si>
  <si>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</si>
  <si>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</si>
  <si>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</si>
  <si>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</si>
  <si>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</si>
  <si>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</si>
  <si>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</si>
  <si>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</si>
  <si>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</si>
  <si>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</si>
  <si>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</si>
  <si>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</si>
  <si>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</si>
  <si>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</si>
  <si>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</si>
  <si>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</si>
  <si>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</si>
  <si>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</si>
  <si>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</si>
  <si>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</si>
  <si>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</si>
  <si>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</si>
  <si>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</si>
  <si>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</si>
  <si>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</si>
  <si>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</si>
  <si>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</si>
  <si>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</si>
  <si>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</si>
  <si>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</si>
  <si>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</si>
  <si>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</si>
  <si>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</si>
  <si>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</si>
  <si>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</si>
  <si>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</si>
  <si>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</si>
  <si>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</si>
  <si>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</si>
  <si>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</si>
  <si>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</si>
  <si>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</si>
  <si>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</si>
  <si>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</si>
  <si>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</si>
  <si>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</si>
  <si>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</si>
  <si>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</si>
  <si>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</si>
  <si>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</si>
  <si>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</si>
  <si>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</si>
  <si>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</si>
  <si>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</si>
  <si>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</si>
  <si>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</si>
  <si>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</si>
  <si>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</si>
  <si>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</si>
  <si>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</si>
  <si>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</si>
  <si>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</si>
  <si>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</si>
  <si>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</si>
  <si>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</si>
  <si>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</si>
  <si>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</si>
  <si>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</si>
  <si>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</si>
  <si>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</si>
  <si>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</si>
  <si>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</si>
  <si>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</si>
  <si>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</si>
  <si>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</si>
  <si>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</si>
  <si>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</si>
  <si>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</si>
  <si>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</si>
  <si>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</si>
  <si>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</si>
  <si>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</si>
  <si>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</si>
  <si>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</si>
  <si>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</si>
  <si>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</si>
  <si>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</si>
  <si>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</si>
  <si>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</si>
  <si>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</si>
  <si>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</si>
  <si>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</si>
  <si>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</si>
  <si>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</si>
  <si>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</si>
  <si>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</si>
  <si>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</si>
  <si>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</si>
  <si>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</si>
  <si>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</si>
  <si>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</si>
  <si>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</si>
  <si>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</si>
  <si>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</si>
  <si>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</si>
  <si>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</si>
  <si>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</si>
  <si>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</si>
  <si>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</si>
  <si>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</si>
  <si>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</si>
  <si>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</si>
  <si>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</si>
  <si>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</si>
  <si>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</si>
  <si>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</si>
  <si>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</si>
  <si>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</si>
  <si>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</si>
  <si>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</si>
  <si>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</si>
  <si>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</si>
  <si>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</si>
  <si>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</si>
  <si>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</si>
  <si>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</si>
  <si>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</si>
  <si>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</si>
  <si>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</si>
  <si>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</si>
  <si>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</si>
  <si>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</si>
  <si>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</si>
  <si>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</si>
  <si>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</si>
  <si>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</si>
  <si>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</si>
  <si>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</si>
  <si>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</si>
  <si>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</si>
  <si>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</si>
  <si>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</si>
  <si>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</si>
  <si>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</si>
  <si>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</si>
  <si>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</si>
  <si>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</si>
  <si>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</si>
  <si>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</si>
  <si>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</si>
  <si>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</si>
  <si>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</si>
  <si>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</si>
  <si>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</si>
  <si>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</si>
  <si>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</si>
  <si>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</si>
  <si>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</si>
  <si>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</si>
  <si>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</si>
  <si>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</si>
  <si>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</si>
  <si>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</si>
  <si>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</si>
  <si>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</si>
  <si>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</si>
  <si>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</si>
  <si>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</si>
  <si>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</si>
  <si>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</si>
  <si>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</si>
  <si>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</si>
  <si>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</si>
  <si>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</si>
  <si>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</si>
  <si>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</si>
  <si>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</si>
  <si>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</si>
  <si>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</si>
  <si>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</si>
  <si>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</si>
  <si>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</si>
  <si>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</si>
  <si>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</si>
  <si>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</si>
  <si>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</si>
  <si>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</si>
  <si>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</si>
  <si>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</si>
  <si>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</si>
  <si>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</si>
  <si>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</si>
  <si>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</si>
  <si>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</si>
  <si>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</si>
  <si>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</si>
  <si>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</si>
  <si>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</si>
  <si>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</si>
  <si>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</si>
  <si>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</si>
  <si>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</si>
  <si>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</si>
  <si>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</si>
  <si>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</si>
  <si>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</si>
  <si>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</si>
  <si>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</si>
  <si>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</si>
  <si>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</si>
  <si>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</si>
  <si>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</si>
  <si>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</si>
  <si>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</si>
  <si>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</si>
  <si>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</si>
  <si>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</si>
  <si>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</si>
  <si>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</si>
  <si>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</si>
  <si>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</si>
  <si>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</si>
  <si>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</si>
  <si>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</si>
  <si>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</si>
  <si>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</si>
  <si>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</si>
  <si>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</si>
  <si>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</si>
  <si>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</si>
  <si>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</si>
  <si>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</si>
  <si>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</si>
  <si>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</si>
  <si>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</si>
  <si>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</si>
  <si>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</si>
  <si>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</si>
  <si>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</si>
  <si>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</si>
  <si>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</si>
  <si>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</si>
  <si>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</si>
  <si>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</si>
  <si>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</si>
  <si>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</si>
  <si>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</si>
  <si>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</si>
  <si>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</si>
  <si>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</si>
  <si>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</si>
  <si>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</si>
  <si>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</si>
  <si>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</si>
  <si>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</si>
  <si>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</si>
  <si>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</si>
  <si>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</si>
  <si>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</si>
  <si>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</si>
  <si>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</si>
  <si>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</si>
  <si>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</si>
  <si>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</si>
  <si>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</si>
  <si>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</si>
  <si>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</si>
  <si>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</si>
  <si>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</si>
  <si>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</si>
  <si>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</si>
  <si>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</si>
  <si>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</si>
  <si>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</si>
  <si>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</si>
  <si>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</si>
  <si>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</si>
  <si>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</si>
  <si>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</si>
  <si>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</si>
  <si>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</si>
  <si>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</si>
  <si>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</si>
  <si>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</si>
  <si>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</si>
  <si>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</si>
  <si>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</si>
  <si>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</si>
  <si>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</si>
  <si>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</si>
  <si>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</si>
  <si>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</si>
  <si>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</si>
  <si>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</si>
  <si>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</si>
  <si>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</si>
  <si>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</si>
  <si>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</si>
  <si>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</si>
  <si>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</si>
  <si>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</si>
  <si>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</si>
  <si>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</si>
  <si>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</si>
  <si>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</si>
  <si>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</si>
  <si>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</si>
  <si>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</si>
  <si>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</si>
  <si>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</si>
  <si>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</si>
  <si>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</si>
  <si>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</si>
  <si>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</si>
  <si>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</si>
  <si>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</si>
  <si>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</si>
  <si>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</si>
  <si>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</si>
  <si>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</si>
  <si>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</si>
  <si>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</si>
  <si>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</si>
  <si>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</si>
  <si>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</si>
  <si>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</si>
  <si>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</si>
  <si>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</si>
  <si>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</si>
  <si>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</si>
  <si>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</si>
  <si>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</si>
  <si>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</si>
  <si>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</si>
  <si>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</si>
  <si>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</si>
  <si>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</si>
  <si>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</si>
  <si>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</si>
  <si>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</si>
  <si>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</si>
  <si>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</si>
  <si>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</si>
  <si>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</si>
  <si>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</si>
  <si>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</si>
  <si>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</si>
  <si>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</si>
  <si>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</si>
  <si>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</si>
  <si>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</si>
  <si>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</si>
  <si>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</si>
  <si>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</si>
  <si>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</si>
  <si>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</si>
  <si>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</si>
  <si>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</si>
  <si>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</si>
  <si>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</si>
  <si>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</si>
  <si>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</si>
  <si>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</si>
  <si>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</si>
  <si>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</si>
  <si>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</si>
  <si>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</si>
  <si>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</si>
  <si>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</si>
  <si>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</si>
  <si>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</si>
  <si>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</si>
  <si>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</si>
  <si>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</si>
  <si>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</si>
  <si>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</si>
  <si>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</si>
  <si>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</si>
  <si>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</si>
  <si>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</si>
  <si>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</si>
  <si>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</si>
  <si>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</si>
  <si>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</si>
  <si>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</si>
  <si>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</si>
  <si>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</si>
  <si>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</si>
  <si>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</si>
  <si>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</si>
  <si>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</si>
  <si>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</si>
  <si>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</si>
  <si>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</si>
  <si>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</si>
  <si>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</si>
  <si>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</si>
  <si>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</si>
  <si>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</si>
  <si>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</si>
  <si>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</si>
  <si>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</si>
  <si>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</si>
  <si>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</si>
  <si>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</si>
  <si>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</si>
  <si>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</si>
  <si>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</si>
  <si>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</si>
  <si>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</si>
  <si>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</si>
  <si>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</si>
  <si>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</si>
  <si>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</si>
  <si>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</si>
  <si>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</si>
  <si>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</si>
  <si>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</si>
  <si>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</si>
  <si>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</si>
  <si>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</si>
  <si>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</si>
  <si>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</si>
  <si>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</si>
  <si>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</si>
  <si>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</si>
  <si>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</si>
  <si>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</si>
  <si>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</si>
  <si>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</si>
  <si>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</si>
  <si>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</si>
  <si>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</si>
  <si>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</si>
  <si>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</si>
  <si>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</si>
  <si>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</si>
  <si>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</si>
  <si>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</si>
  <si>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</si>
  <si>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</si>
  <si>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</si>
  <si>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</si>
  <si>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</si>
  <si>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</si>
  <si>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</si>
  <si>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</si>
  <si>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</si>
  <si>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</si>
  <si>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</si>
  <si>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</si>
  <si>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</si>
  <si>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</si>
  <si>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</si>
  <si>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</si>
  <si>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</si>
  <si>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</si>
  <si>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</si>
  <si>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</si>
  <si>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</si>
  <si>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</si>
  <si>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</si>
  <si>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</si>
  <si>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</si>
  <si>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</si>
  <si>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</si>
  <si>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</si>
  <si>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</si>
  <si>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</si>
  <si>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</si>
  <si>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</si>
  <si>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</si>
  <si>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</si>
  <si>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</si>
  <si>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</si>
  <si>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</si>
  <si>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</si>
  <si>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</si>
  <si>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</si>
  <si>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</si>
  <si>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</si>
  <si>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</si>
  <si>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</si>
  <si>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</si>
  <si>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</si>
  <si>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</si>
  <si>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</si>
  <si>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</si>
  <si>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</si>
  <si>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</si>
  <si>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</si>
  <si>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</si>
  <si>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</si>
  <si>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</si>
  <si>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</si>
  <si>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</si>
  <si>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</si>
  <si>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</si>
  <si>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</si>
  <si>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</si>
  <si>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</si>
  <si>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</si>
  <si>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</si>
  <si>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</si>
  <si>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</si>
  <si>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</si>
  <si>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</si>
  <si>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</si>
  <si>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</si>
  <si>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</si>
  <si>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</si>
  <si>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</si>
  <si>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</si>
  <si>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</si>
  <si>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</si>
  <si>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</si>
  <si>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</si>
  <si>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</si>
  <si>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</si>
  <si>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</si>
  <si>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</si>
  <si>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</si>
  <si>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</si>
  <si>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</si>
  <si>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</si>
  <si>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</si>
  <si>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</si>
  <si>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</si>
  <si>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</si>
  <si>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</si>
  <si>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</si>
  <si>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</si>
  <si>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</si>
  <si>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</si>
  <si>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</si>
  <si>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</si>
  <si>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</si>
  <si>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</si>
  <si>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</si>
  <si>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</si>
  <si>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</si>
  <si>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</si>
  <si>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</si>
  <si>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</si>
  <si>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</si>
  <si>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</si>
  <si>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</si>
  <si>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</si>
  <si>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</si>
  <si>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</si>
  <si>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</si>
  <si>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</si>
  <si>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</si>
  <si>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</si>
  <si>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</si>
  <si>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</si>
  <si>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</si>
  <si>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</si>
  <si>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</si>
  <si>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</si>
  <si>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</si>
  <si>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</si>
  <si>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</si>
  <si>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</si>
  <si>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</si>
  <si>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</si>
  <si>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</si>
  <si>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</si>
  <si>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</si>
  <si>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</si>
  <si>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</si>
  <si>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</si>
  <si>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</si>
  <si>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</si>
  <si>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</si>
  <si>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</si>
  <si>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</si>
  <si>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</si>
  <si>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</si>
  <si>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</si>
  <si>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</si>
  <si>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</si>
  <si>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</si>
  <si>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</si>
  <si>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</si>
  <si>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</si>
  <si>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</si>
  <si>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</si>
  <si>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</si>
  <si>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</si>
  <si>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</si>
  <si>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</si>
  <si>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</si>
  <si>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</si>
  <si>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</si>
  <si>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</si>
  <si>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</si>
  <si>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</si>
  <si>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</si>
  <si>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</si>
  <si>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</si>
  <si>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</si>
  <si>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</si>
  <si>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</si>
  <si>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</si>
  <si>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</si>
  <si>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</si>
  <si>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</si>
  <si>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</si>
  <si>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</si>
  <si>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</si>
  <si>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</si>
  <si>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</si>
  <si>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</si>
  <si>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</si>
  <si>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</si>
  <si>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</si>
  <si>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</si>
  <si>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</si>
  <si>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</si>
  <si>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</si>
  <si>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</si>
  <si>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</si>
  <si>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</si>
  <si>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</si>
  <si>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</si>
  <si>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</si>
  <si>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</si>
  <si>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</si>
  <si>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</si>
  <si>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</si>
  <si>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</si>
  <si>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</si>
  <si>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</si>
  <si>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</si>
  <si>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</si>
  <si>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</si>
  <si>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</si>
  <si>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</si>
  <si>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</si>
  <si>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</si>
  <si>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</si>
  <si>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</si>
  <si>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</si>
  <si>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</si>
  <si>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</si>
  <si>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</si>
  <si>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</si>
  <si>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</si>
  <si>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</si>
  <si>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</si>
  <si>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</si>
  <si>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</si>
  <si>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</si>
  <si>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</si>
  <si>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</si>
  <si>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</si>
  <si>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</si>
  <si>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</si>
  <si>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</si>
  <si>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</si>
  <si>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</si>
  <si>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</si>
  <si>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</si>
  <si>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</si>
  <si>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</si>
  <si>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</si>
  <si>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</si>
  <si>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</si>
  <si>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</si>
  <si>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</si>
  <si>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</si>
  <si>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</si>
  <si>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</si>
  <si>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</si>
  <si>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</si>
  <si>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</si>
  <si>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</si>
  <si>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</si>
  <si>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</si>
  <si>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</si>
  <si>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</si>
  <si>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</si>
  <si>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</si>
  <si>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</si>
  <si>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</si>
  <si>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</si>
  <si>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</si>
  <si>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</si>
  <si>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</si>
  <si>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</si>
  <si>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</si>
  <si>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</si>
  <si>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</si>
  <si>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</si>
  <si>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</si>
  <si>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</si>
  <si>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</si>
  <si>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</si>
  <si>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</si>
  <si>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</si>
  <si>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</si>
  <si>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</si>
  <si>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</si>
  <si>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</si>
  <si>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</si>
  <si>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</si>
  <si>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</si>
  <si>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</si>
  <si>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</si>
  <si>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</si>
  <si>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</si>
  <si>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</si>
  <si>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</si>
  <si>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</si>
  <si>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</si>
  <si>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</si>
  <si>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</si>
  <si>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</si>
  <si>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</si>
  <si>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</si>
  <si>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</si>
  <si>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</si>
  <si>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</si>
  <si>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</si>
  <si>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</si>
  <si>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</si>
  <si>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</si>
  <si>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</si>
  <si>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</si>
  <si>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</si>
  <si>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</si>
  <si>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</si>
  <si>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</si>
  <si>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</si>
  <si>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</si>
  <si>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</si>
  <si>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</si>
  <si>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</si>
  <si>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</si>
  <si>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</si>
  <si>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</si>
  <si>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</si>
  <si>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</si>
  <si>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</si>
  <si>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</si>
  <si>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</si>
  <si>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</si>
  <si>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</si>
  <si>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</si>
  <si>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</si>
  <si>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</si>
  <si>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</si>
  <si>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</si>
  <si>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</si>
  <si>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</si>
  <si>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</si>
  <si>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</si>
  <si>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</si>
  <si>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</si>
  <si>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</si>
  <si>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</si>
  <si>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</si>
  <si>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</si>
  <si>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</si>
  <si>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</si>
  <si>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</si>
  <si>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</si>
  <si>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</si>
  <si>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</si>
  <si>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</si>
  <si>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</si>
  <si>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</si>
  <si>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</si>
  <si>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</si>
  <si>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</si>
  <si>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</si>
  <si>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</si>
  <si>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</si>
  <si>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</si>
  <si>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</si>
  <si>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</si>
  <si>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</si>
  <si>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</si>
  <si>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</si>
  <si>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</si>
  <si>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</si>
  <si>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</si>
  <si>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</si>
  <si>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</si>
  <si>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</si>
  <si>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</si>
  <si>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</si>
  <si>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</si>
  <si>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</si>
  <si>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</si>
  <si>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</si>
  <si>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</si>
  <si>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</si>
  <si>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</si>
  <si>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</si>
  <si>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</si>
  <si>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</si>
  <si>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</si>
  <si>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</si>
  <si>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</si>
  <si>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</si>
  <si>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</si>
  <si>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</si>
  <si>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</si>
  <si>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</si>
  <si>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</si>
  <si>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</si>
  <si>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</si>
  <si>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</si>
  <si>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</si>
  <si>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</si>
  <si>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</si>
  <si>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</si>
  <si>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</si>
  <si>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</si>
  <si>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</si>
  <si>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</si>
  <si>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</si>
  <si>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</si>
  <si>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</si>
  <si>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</si>
  <si>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</si>
  <si>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</si>
  <si>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</si>
  <si>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</si>
  <si>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</si>
  <si>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</si>
  <si>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</si>
  <si>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</si>
  <si>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</si>
  <si>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</si>
  <si>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</si>
  <si>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</si>
  <si>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</si>
  <si>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</si>
  <si>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</si>
  <si>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</si>
  <si>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</si>
  <si>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</si>
  <si>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</si>
  <si>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</si>
  <si>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</si>
  <si>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</si>
  <si>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</si>
  <si>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</si>
  <si>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</si>
  <si>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</si>
  <si>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</si>
  <si>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</si>
  <si>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</si>
  <si>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</si>
  <si>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</si>
  <si>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</si>
  <si>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</si>
  <si>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</si>
  <si>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</si>
  <si>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</si>
  <si>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</si>
  <si>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</si>
  <si>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</si>
  <si>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</si>
  <si>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</si>
  <si>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</si>
  <si>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</si>
  <si>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</si>
  <si>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</si>
  <si>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</si>
  <si>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</si>
  <si>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</si>
  <si>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</si>
  <si>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</si>
  <si>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</si>
  <si>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</si>
  <si>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</si>
  <si>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</si>
  <si>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</si>
  <si>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</si>
  <si>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</si>
  <si>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</si>
  <si>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</si>
  <si>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</si>
  <si>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</si>
  <si>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</si>
  <si>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</si>
  <si>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</si>
  <si>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</si>
  <si>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</si>
  <si>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</si>
  <si>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</si>
  <si>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</si>
  <si>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</si>
  <si>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</si>
  <si>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</si>
  <si>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</si>
  <si>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</si>
  <si>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</si>
  <si>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</si>
  <si>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</si>
  <si>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</si>
  <si>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</si>
  <si>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</si>
  <si>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</si>
  <si>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</si>
  <si>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</si>
  <si>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</si>
  <si>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</si>
  <si>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</si>
  <si>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</si>
  <si>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</si>
  <si>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</si>
  <si>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</si>
  <si>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</si>
  <si>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</si>
  <si>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</si>
  <si>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</si>
  <si>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</si>
  <si>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</si>
  <si>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</si>
  <si>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</si>
  <si>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</si>
  <si>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</si>
  <si>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</si>
  <si>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</si>
  <si>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</si>
  <si>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</si>
  <si>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</si>
  <si>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</si>
  <si>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</si>
  <si>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</si>
  <si>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</si>
  <si>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</si>
  <si>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</si>
  <si>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</si>
  <si>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</si>
  <si>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</si>
  <si>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</si>
  <si>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</si>
  <si>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</si>
  <si>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</si>
  <si>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</si>
  <si>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</si>
  <si>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</si>
  <si>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</si>
  <si>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</si>
  <si>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</si>
  <si>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</si>
  <si>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</si>
  <si>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</si>
  <si>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</si>
  <si>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</si>
  <si>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</si>
  <si>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</si>
  <si>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</si>
  <si>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</si>
  <si>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</si>
  <si>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</si>
  <si>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</si>
  <si>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</si>
  <si>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</si>
  <si>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</si>
  <si>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</si>
  <si>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</si>
  <si>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</si>
  <si>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</si>
  <si>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</si>
  <si>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</si>
  <si>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</si>
  <si>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</si>
  <si>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</si>
  <si>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</si>
  <si>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</si>
  <si>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</si>
  <si>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</si>
  <si>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</si>
  <si>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</si>
  <si>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</si>
  <si>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</si>
  <si>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</si>
  <si>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</si>
  <si>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</si>
  <si>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</si>
  <si>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</si>
  <si>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</si>
  <si>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</si>
  <si>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</si>
  <si>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</si>
  <si>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</si>
  <si>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</si>
  <si>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</si>
  <si>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</si>
  <si>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</si>
  <si>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</si>
  <si>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</si>
  <si>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</si>
  <si>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</si>
  <si>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</si>
  <si>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</si>
  <si>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</si>
  <si>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</si>
  <si>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</si>
  <si>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</si>
  <si>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</si>
  <si>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</si>
  <si>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</si>
  <si>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</si>
  <si>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</si>
  <si>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</si>
  <si>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</si>
  <si>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</si>
  <si>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</si>
  <si>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</si>
  <si>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</si>
  <si>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</si>
  <si>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</si>
  <si>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</si>
  <si>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</si>
  <si>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</si>
  <si>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</si>
  <si>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</si>
  <si>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</si>
  <si>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</si>
  <si>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</si>
  <si>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</si>
  <si>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</si>
  <si>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</si>
  <si>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</si>
  <si>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</si>
  <si>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</si>
  <si>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</si>
  <si>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</si>
  <si>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</si>
  <si>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</si>
  <si>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</si>
  <si>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</si>
  <si>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</si>
  <si>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</si>
  <si>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</si>
  <si>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</si>
  <si>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</si>
  <si>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</si>
  <si>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</si>
  <si>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</si>
  <si>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</si>
  <si>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</si>
  <si>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</si>
  <si>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</si>
  <si>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</si>
  <si>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</si>
  <si>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</si>
  <si>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</si>
  <si>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</si>
  <si>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</si>
  <si>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</si>
  <si>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</si>
  <si>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</si>
  <si>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</si>
  <si>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</si>
  <si>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</si>
  <si>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</si>
  <si>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</si>
  <si>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</si>
  <si>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</si>
  <si>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</si>
  <si>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</si>
  <si>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</si>
  <si>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</si>
  <si>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</si>
  <si>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</si>
  <si>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</si>
  <si>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</si>
  <si>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</si>
  <si>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</si>
  <si>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</si>
  <si>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</si>
  <si>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</si>
  <si>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</si>
  <si>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</si>
  <si>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</si>
  <si>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</si>
  <si>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</si>
  <si>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</si>
  <si>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</si>
  <si>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</si>
  <si>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</si>
  <si>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</si>
  <si>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</si>
  <si>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</si>
  <si>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</si>
  <si>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</si>
  <si>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</si>
  <si>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</si>
  <si>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</si>
  <si>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</si>
  <si>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</si>
  <si>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</si>
  <si>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</si>
  <si>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</si>
  <si>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</si>
  <si>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</si>
  <si>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</si>
  <si>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</si>
  <si>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</si>
  <si>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</si>
  <si>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</si>
  <si>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</si>
  <si>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</si>
  <si>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</si>
  <si>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</si>
  <si>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</si>
  <si>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</si>
  <si>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</si>
  <si>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</si>
  <si>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</si>
  <si>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</si>
  <si>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</si>
  <si>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</si>
  <si>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</si>
  <si>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</si>
  <si>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</si>
  <si>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</si>
  <si>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</si>
  <si>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</si>
  <si>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</si>
  <si>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</si>
  <si>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</si>
  <si>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</si>
  <si>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</si>
  <si>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</si>
  <si>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</si>
  <si>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</si>
  <si>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</si>
  <si>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</si>
  <si>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</si>
  <si>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</si>
  <si>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</si>
  <si>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</si>
  <si>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</si>
  <si>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</si>
  <si>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</si>
  <si>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</si>
  <si>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</si>
  <si>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</si>
  <si>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</si>
  <si>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</si>
  <si>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</si>
  <si>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</si>
  <si>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</si>
  <si>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</si>
  <si>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</si>
  <si>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</si>
  <si>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</si>
  <si>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</si>
  <si>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</si>
  <si>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</si>
  <si>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</si>
  <si>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</si>
  <si>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</si>
  <si>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</si>
  <si>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</si>
  <si>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</si>
  <si>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</si>
  <si>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</si>
  <si>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</si>
  <si>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</si>
  <si>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</si>
  <si>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</si>
  <si>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</si>
  <si>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</si>
  <si>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</si>
  <si>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</si>
  <si>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</si>
  <si>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</si>
  <si>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</si>
  <si>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</si>
  <si>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</si>
  <si>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</si>
  <si>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</si>
  <si>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</si>
  <si>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</si>
  <si>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</si>
  <si>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</si>
  <si>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</si>
  <si>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</si>
  <si>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</si>
  <si>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</si>
  <si>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</si>
  <si>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</si>
  <si>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</si>
  <si>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</si>
  <si>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</si>
  <si>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</si>
  <si>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</si>
  <si>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</si>
  <si>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</si>
  <si>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</si>
  <si>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</si>
  <si>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</si>
  <si>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</si>
  <si>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</si>
  <si>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</si>
  <si>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</si>
  <si>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</si>
  <si>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</si>
  <si>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</si>
  <si>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</si>
  <si>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</si>
  <si>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</si>
  <si>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</si>
  <si>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</si>
  <si>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</si>
  <si>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</si>
  <si>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</si>
  <si>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</si>
  <si>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</si>
  <si>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</si>
  <si>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</si>
  <si>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</si>
  <si>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</si>
  <si>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</si>
  <si>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</si>
  <si>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</si>
  <si>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</si>
  <si>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</si>
  <si>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</si>
  <si>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</si>
  <si>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</si>
  <si>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</si>
  <si>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</si>
  <si>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</si>
  <si>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</si>
  <si>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</si>
  <si>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</si>
  <si>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</si>
  <si>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</si>
  <si>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</si>
  <si>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</si>
  <si>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</si>
  <si>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</si>
  <si>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</si>
  <si>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</si>
  <si>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</si>
  <si>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</si>
  <si>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</si>
  <si>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</si>
  <si>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</si>
  <si>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</si>
  <si>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</si>
  <si>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</si>
  <si>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</si>
  <si>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</si>
  <si>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</si>
  <si>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</si>
  <si>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</si>
  <si>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</si>
  <si>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</si>
  <si>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</si>
  <si>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</si>
  <si>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</si>
  <si>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</si>
  <si>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</si>
  <si>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</si>
  <si>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</si>
  <si>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</si>
  <si>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</si>
  <si>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</si>
  <si>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</si>
  <si>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</si>
  <si>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</si>
  <si>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</si>
  <si>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</si>
  <si>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</si>
  <si>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</si>
  <si>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</si>
  <si>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</si>
  <si>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</si>
  <si>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</si>
  <si>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</si>
  <si>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</si>
  <si>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</si>
  <si>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</si>
  <si>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</si>
  <si>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</si>
  <si>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</si>
  <si>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</si>
  <si>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</si>
  <si>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</si>
  <si>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</si>
  <si>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</si>
  <si>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</si>
  <si>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</si>
  <si>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</si>
  <si>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</si>
  <si>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</si>
  <si>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</si>
  <si>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</si>
  <si>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</si>
  <si>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</si>
  <si>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</si>
  <si>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</si>
  <si>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</si>
  <si>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</si>
  <si>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</si>
  <si>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</si>
  <si>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</si>
  <si>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</si>
  <si>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</si>
  <si>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</si>
  <si>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</si>
  <si>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</si>
  <si>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</si>
  <si>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</si>
  <si>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</si>
  <si>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</si>
  <si>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</si>
  <si>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</si>
  <si>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</si>
  <si>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</si>
  <si>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</si>
  <si>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</si>
  <si>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</si>
  <si>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</si>
  <si>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</si>
  <si>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</si>
  <si>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</si>
  <si>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</si>
  <si>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</si>
  <si>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</si>
  <si>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</si>
  <si>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</si>
  <si>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</si>
  <si>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</si>
  <si>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</si>
  <si>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</si>
  <si>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</si>
  <si>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</si>
  <si>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</si>
  <si>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</si>
  <si>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</si>
  <si>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</si>
  <si>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</si>
  <si>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</si>
  <si>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</si>
  <si>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</si>
  <si>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</si>
  <si>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</si>
  <si>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</si>
  <si>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</si>
  <si>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</si>
  <si>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</si>
  <si>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</si>
  <si>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</si>
  <si>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</si>
  <si>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</si>
  <si>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</si>
  <si>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</si>
  <si>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</si>
  <si>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</si>
  <si>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</si>
  <si>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</si>
  <si>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</si>
  <si>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</si>
  <si>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</si>
  <si>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</si>
  <si>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</si>
  <si>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</si>
  <si>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</si>
  <si>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</si>
  <si>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</si>
  <si>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</si>
  <si>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</si>
  <si>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</si>
  <si>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</si>
  <si>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</si>
  <si>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</si>
  <si>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</si>
  <si>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</si>
  <si>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</si>
  <si>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</si>
  <si>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</si>
  <si>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</si>
  <si>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</si>
  <si>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</si>
  <si>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</si>
  <si>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</si>
  <si>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</si>
  <si>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</si>
  <si>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</si>
  <si>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</si>
  <si>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</si>
  <si>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</si>
  <si>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</si>
  <si>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</si>
  <si>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</si>
  <si>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</si>
  <si>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</si>
  <si>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</si>
  <si>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</si>
  <si>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</si>
  <si>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</si>
  <si>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</si>
  <si>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</si>
  <si>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</si>
  <si>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</si>
  <si>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</si>
  <si>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</si>
  <si>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</si>
  <si>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</si>
  <si>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</si>
  <si>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</si>
  <si>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</si>
  <si>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</si>
  <si>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</si>
  <si>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</si>
  <si>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</si>
  <si>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</si>
  <si>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</si>
  <si>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</si>
  <si>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</si>
  <si>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</si>
  <si>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</si>
  <si>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</si>
  <si>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</si>
  <si>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</si>
  <si>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</si>
  <si>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</si>
  <si>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</si>
  <si>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</si>
  <si>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</si>
  <si>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</si>
  <si>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</si>
  <si>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</si>
  <si>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</si>
  <si>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</si>
  <si>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</si>
  <si>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</si>
  <si>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</si>
  <si>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</si>
  <si>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</si>
  <si>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</si>
  <si>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</si>
  <si>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</si>
  <si>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</si>
  <si>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</si>
  <si>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</si>
  <si>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</si>
  <si>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</si>
  <si>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</si>
  <si>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</si>
  <si>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</si>
  <si>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</si>
  <si>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</si>
  <si>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</si>
  <si>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</si>
  <si>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</si>
  <si>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</si>
  <si>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</si>
  <si>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</si>
  <si>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</si>
  <si>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</si>
  <si>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</si>
  <si>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</si>
  <si>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</si>
  <si>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</si>
  <si>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</si>
  <si>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</si>
  <si>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</si>
  <si>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</si>
  <si>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</si>
  <si>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</si>
  <si>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</si>
  <si>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</si>
  <si>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</si>
  <si>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</si>
  <si>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</si>
  <si>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</si>
  <si>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</si>
  <si>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</si>
  <si>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</si>
  <si>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</si>
  <si>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</si>
  <si>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</si>
  <si>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</si>
  <si>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</si>
  <si>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</si>
  <si>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</si>
  <si>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</si>
  <si>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</si>
  <si>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</si>
  <si>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</si>
  <si>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</si>
  <si>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</si>
  <si>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</si>
  <si>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</si>
  <si>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</si>
  <si>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</si>
  <si>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</si>
  <si>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</si>
  <si>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</si>
  <si>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</si>
  <si>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</si>
  <si>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</si>
  <si>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</si>
  <si>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</si>
  <si>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</si>
  <si>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</si>
  <si>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</si>
  <si>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</si>
  <si>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</si>
  <si>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</si>
  <si>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</si>
  <si>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</si>
  <si>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</si>
  <si>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</si>
  <si>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</si>
  <si>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</si>
  <si>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</si>
  <si>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</si>
  <si>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</si>
  <si>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</si>
  <si>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</si>
  <si>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</si>
  <si>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</si>
  <si>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</si>
  <si>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</si>
  <si>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</si>
  <si>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</si>
  <si>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</si>
  <si>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</si>
  <si>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</si>
  <si>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</si>
  <si>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</si>
  <si>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</si>
  <si>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</si>
  <si>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</si>
  <si>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</si>
  <si>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</si>
  <si>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</si>
  <si>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</si>
  <si>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</si>
  <si>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</si>
  <si>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</si>
  <si>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</si>
  <si>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</si>
  <si>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</si>
  <si>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</si>
  <si>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</si>
  <si>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</si>
  <si>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</si>
  <si>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</si>
  <si>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</si>
  <si>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</si>
  <si>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</si>
  <si>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</si>
  <si>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</si>
  <si>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</si>
  <si>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</si>
  <si>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</si>
  <si>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</si>
  <si>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</si>
  <si>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</si>
  <si>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</si>
  <si>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</si>
  <si>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</si>
  <si>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</si>
  <si>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</si>
  <si>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</si>
  <si>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</si>
  <si>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</si>
  <si>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</si>
  <si>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</si>
  <si>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</si>
  <si>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</si>
  <si>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</si>
  <si>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</si>
  <si>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</si>
  <si>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</si>
  <si>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</si>
  <si>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</si>
  <si>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</si>
  <si>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</si>
  <si>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</si>
  <si>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</si>
  <si>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</si>
  <si>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</si>
  <si>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</si>
  <si>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</si>
  <si>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</si>
  <si>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</si>
  <si>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</si>
  <si>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</si>
  <si>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</si>
  <si>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</si>
  <si>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</si>
  <si>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</si>
  <si>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</si>
  <si>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</si>
  <si>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</si>
  <si>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</si>
  <si>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</si>
  <si>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</si>
  <si>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</si>
  <si>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</si>
  <si>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</si>
  <si>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</si>
  <si>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</si>
  <si>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</si>
  <si>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</si>
  <si>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</si>
  <si>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</si>
  <si>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</si>
  <si>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</si>
  <si>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</si>
  <si>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</si>
  <si>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</si>
  <si>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</si>
  <si>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</si>
  <si>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</si>
  <si>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</si>
  <si>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</si>
  <si>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</si>
  <si>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</si>
  <si>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</si>
  <si>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</si>
  <si>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</si>
  <si>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</si>
  <si>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</si>
  <si>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</si>
  <si>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</si>
  <si>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</si>
  <si>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</si>
  <si>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</si>
  <si>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</si>
  <si>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</si>
  <si>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</si>
  <si>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</si>
  <si>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</si>
  <si>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</si>
  <si>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</si>
  <si>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</si>
  <si>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</si>
  <si>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</si>
  <si>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</si>
  <si>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</si>
  <si>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</si>
  <si>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</si>
  <si>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</si>
  <si>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</si>
  <si>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</si>
  <si>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</si>
  <si>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</si>
  <si>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</si>
  <si>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</si>
  <si>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</si>
  <si>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</si>
  <si>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</si>
  <si>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</si>
  <si>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</si>
  <si>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</si>
  <si>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</si>
  <si>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</si>
  <si>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</si>
  <si>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</si>
  <si>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</si>
  <si>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</si>
  <si>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</si>
  <si>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</si>
  <si>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</si>
  <si>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</si>
  <si>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</si>
  <si>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</si>
  <si>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</si>
  <si>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</si>
  <si>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</si>
  <si>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</si>
  <si>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</si>
  <si>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</si>
  <si>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</si>
  <si>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</si>
  <si>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</si>
  <si>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</si>
  <si>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</si>
  <si>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</si>
  <si>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</si>
  <si>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</si>
  <si>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</si>
  <si>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</si>
  <si>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</si>
  <si>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</si>
  <si>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</si>
  <si>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</si>
  <si>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</si>
  <si>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</si>
  <si>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</si>
  <si>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</si>
  <si>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</si>
  <si>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</si>
  <si>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</si>
  <si>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</si>
  <si>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</si>
  <si>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</si>
  <si>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</si>
  <si>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</si>
  <si>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</si>
  <si>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</si>
  <si>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</si>
  <si>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</si>
  <si>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</si>
  <si>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</si>
  <si>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</si>
  <si>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</si>
  <si>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</si>
  <si>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</si>
  <si>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</si>
  <si>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</si>
  <si>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</si>
  <si>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</si>
  <si>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</si>
  <si>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</si>
  <si>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</si>
  <si>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</si>
  <si>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</si>
  <si>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</si>
  <si>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</si>
  <si>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</si>
  <si>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</si>
  <si>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</si>
  <si>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</si>
  <si>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</si>
  <si>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</si>
  <si>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</si>
  <si>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</si>
  <si>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</si>
  <si>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</si>
  <si>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</si>
  <si>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</si>
  <si>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</si>
  <si>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</si>
  <si>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</si>
  <si>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</si>
  <si>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</si>
  <si>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</si>
  <si>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</si>
  <si>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</si>
  <si>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</si>
  <si>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</si>
  <si>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</si>
  <si>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</si>
  <si>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</si>
  <si>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</si>
  <si>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</si>
  <si>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</si>
  <si>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</si>
  <si>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</si>
  <si>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</si>
  <si>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</si>
  <si>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</si>
  <si>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</si>
  <si>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</si>
  <si>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</si>
  <si>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</si>
  <si>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</si>
  <si>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</si>
  <si>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</si>
  <si>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</si>
  <si>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</si>
  <si>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</si>
  <si>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</si>
  <si>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</si>
  <si>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</si>
  <si>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</si>
  <si>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</si>
  <si>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</si>
  <si>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</si>
  <si>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</si>
  <si>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</si>
  <si>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</si>
  <si>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</si>
  <si>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</si>
  <si>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</si>
  <si>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</si>
  <si>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</si>
  <si>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</si>
  <si>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</si>
  <si>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</si>
  <si>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</si>
  <si>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</si>
  <si>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</si>
  <si>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</si>
  <si>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</si>
  <si>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</si>
  <si>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</si>
  <si>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</si>
  <si>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</si>
  <si>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</si>
  <si>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</si>
  <si>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</si>
  <si>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</si>
  <si>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</si>
  <si>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</si>
  <si>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</si>
  <si>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</si>
  <si>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</si>
  <si>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</si>
  <si>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</si>
  <si>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</si>
  <si>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</si>
  <si>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</si>
  <si>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</si>
  <si>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</si>
  <si>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</si>
  <si>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</si>
  <si>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</si>
  <si>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</si>
  <si>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</si>
  <si>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</si>
  <si>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</si>
  <si>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</si>
  <si>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</si>
  <si>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</si>
  <si>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</si>
  <si>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</si>
  <si>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</si>
  <si>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</si>
  <si>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</si>
  <si>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</si>
  <si>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</si>
  <si>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</si>
  <si>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</si>
  <si>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</si>
  <si>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</si>
  <si>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</si>
  <si>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</si>
  <si>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</si>
  <si>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</si>
  <si>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</si>
  <si>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</si>
  <si>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</si>
  <si>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</si>
  <si>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</si>
  <si>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</si>
  <si>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</si>
  <si>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</si>
  <si>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</si>
  <si>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</si>
  <si>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</si>
  <si>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</si>
  <si>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</si>
  <si>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</si>
  <si>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</si>
  <si>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</si>
  <si>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</si>
  <si>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</si>
  <si>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</si>
  <si>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</si>
  <si>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</si>
  <si>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</si>
  <si>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</si>
  <si>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</si>
  <si>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</si>
  <si>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</si>
  <si>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</si>
  <si>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</si>
  <si>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</si>
  <si>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</si>
  <si>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</si>
  <si>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</si>
  <si>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</si>
  <si>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</si>
  <si>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</si>
  <si>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</si>
  <si>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</si>
  <si>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</si>
  <si>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</si>
  <si>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</si>
  <si>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</si>
  <si>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</si>
  <si>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</si>
  <si>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</si>
  <si>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</si>
  <si>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</si>
  <si>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</si>
  <si>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</si>
  <si>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</si>
  <si>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</si>
  <si>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</si>
  <si>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</si>
  <si>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</si>
  <si>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</si>
  <si>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</si>
  <si>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</si>
  <si>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</si>
  <si>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</si>
  <si>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</si>
  <si>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</si>
  <si>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</si>
  <si>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</si>
  <si>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</si>
  <si>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</si>
  <si>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</si>
  <si>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</si>
  <si>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</si>
  <si>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</si>
  <si>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</si>
  <si>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</si>
  <si>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</si>
  <si>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</si>
  <si>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</si>
  <si>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</si>
  <si>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</si>
  <si>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</si>
  <si>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</si>
  <si>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</si>
  <si>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</si>
  <si>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</si>
  <si>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</si>
  <si>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</si>
  <si>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</si>
  <si>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</si>
  <si>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</si>
  <si>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</si>
  <si>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</si>
  <si>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</si>
  <si>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</si>
  <si>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</si>
  <si>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</si>
  <si>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</si>
  <si>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</si>
  <si>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</si>
  <si>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</si>
  <si>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</si>
  <si>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</si>
  <si>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</si>
  <si>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</si>
  <si>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</si>
  <si>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</si>
  <si>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</si>
  <si>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</si>
  <si>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</si>
  <si>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</si>
  <si>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</si>
  <si>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</si>
  <si>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</si>
  <si>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</si>
  <si>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</si>
  <si>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</si>
  <si>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</si>
  <si>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</si>
  <si>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</si>
  <si>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</si>
  <si>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</si>
  <si>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</si>
  <si>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</si>
  <si>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</si>
  <si>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</si>
  <si>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</si>
  <si>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</si>
  <si>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</si>
  <si>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</si>
  <si>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</si>
  <si>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</si>
  <si>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</si>
  <si>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</si>
  <si>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</si>
  <si>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</si>
  <si>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</si>
  <si>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</si>
  <si>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</si>
  <si>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</si>
  <si>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</si>
  <si>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</si>
  <si>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</si>
  <si>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</si>
  <si>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</si>
  <si>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</si>
  <si>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</si>
  <si>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</si>
  <si>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</si>
  <si>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</si>
  <si>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</si>
  <si>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</si>
  <si>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</si>
  <si>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</si>
  <si>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</si>
  <si>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</si>
  <si>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</si>
  <si>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</si>
  <si>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</si>
  <si>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</si>
  <si>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</si>
  <si>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</si>
  <si>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</si>
  <si>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</si>
  <si>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</si>
  <si>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</si>
  <si>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</si>
  <si>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</si>
  <si>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</si>
  <si>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</si>
  <si>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</si>
  <si>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</si>
  <si>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</si>
  <si>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</si>
  <si>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</si>
  <si>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</si>
  <si>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</si>
  <si>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</si>
  <si>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</si>
  <si>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</si>
  <si>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</si>
  <si>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</si>
  <si>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</si>
  <si>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</si>
  <si>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</si>
  <si>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</si>
  <si>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</si>
  <si>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</si>
  <si>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</si>
  <si>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</si>
  <si>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</si>
  <si>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</si>
  <si>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</si>
  <si>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</si>
  <si>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</si>
  <si>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</si>
  <si>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</si>
  <si>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</si>
  <si>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</si>
  <si>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</si>
  <si>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</si>
  <si>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</si>
  <si>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</si>
  <si>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</si>
  <si>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</si>
  <si>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</si>
  <si>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</si>
  <si>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</si>
  <si>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</si>
  <si>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</si>
  <si>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</si>
  <si>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</si>
  <si>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</si>
  <si>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</si>
  <si>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</si>
  <si>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</si>
  <si>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</si>
  <si>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</si>
  <si>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</si>
  <si>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</si>
  <si>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</si>
  <si>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</si>
  <si>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</si>
  <si>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</si>
  <si>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</si>
  <si>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</si>
  <si>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</si>
  <si>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</si>
  <si>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</si>
  <si>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</si>
  <si>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</si>
  <si>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</si>
  <si>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</si>
  <si>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</si>
  <si>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</si>
  <si>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</si>
  <si>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</si>
  <si>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</si>
  <si>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</si>
  <si>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</si>
  <si>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</si>
  <si>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</si>
  <si>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</si>
  <si>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</si>
  <si>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</si>
  <si>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</si>
  <si>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</si>
  <si>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</si>
  <si>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</si>
  <si>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</si>
  <si>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</si>
  <si>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</si>
  <si>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</si>
  <si>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</si>
  <si>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</si>
  <si>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</si>
  <si>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</si>
  <si>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</si>
  <si>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</si>
  <si>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</si>
  <si>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</si>
  <si>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</si>
  <si>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</si>
  <si>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</si>
  <si>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</si>
  <si>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</si>
  <si>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</si>
  <si>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</si>
  <si>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</si>
  <si>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</si>
  <si>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</si>
  <si>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</si>
  <si>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</si>
  <si>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</si>
  <si>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</si>
  <si>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</si>
  <si>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</si>
  <si>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</si>
  <si>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</si>
  <si>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</si>
  <si>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</si>
  <si>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</si>
  <si>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</si>
  <si>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</si>
  <si>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</si>
  <si>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</si>
  <si>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</si>
  <si>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</si>
  <si>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</si>
  <si>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</si>
  <si>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</si>
  <si>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</si>
  <si>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</si>
  <si>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</si>
  <si>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</si>
  <si>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</si>
  <si>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</si>
  <si>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</si>
  <si>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</si>
  <si>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</si>
  <si>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</si>
  <si>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</si>
  <si>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</si>
  <si>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</si>
  <si>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</si>
  <si>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</si>
  <si>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</si>
  <si>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</si>
  <si>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</si>
  <si>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</si>
  <si>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</si>
  <si>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</si>
  <si>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</si>
  <si>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</si>
  <si>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</si>
  <si>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</si>
  <si>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</si>
  <si>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</si>
  <si>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</si>
  <si>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</si>
  <si>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</si>
  <si>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</si>
  <si>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</si>
  <si>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</si>
  <si>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</si>
  <si>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</si>
  <si>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</si>
  <si>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</si>
  <si>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</si>
  <si>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</si>
  <si>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</si>
  <si>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</si>
  <si>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</si>
  <si>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</si>
  <si>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</si>
  <si>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</si>
  <si>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</si>
  <si>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</si>
  <si>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</si>
  <si>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</si>
  <si>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</si>
  <si>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</si>
  <si>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</si>
  <si>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</si>
  <si>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</si>
  <si>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</si>
  <si>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</si>
  <si>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</si>
  <si>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</si>
  <si>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</si>
  <si>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</si>
  <si>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</si>
  <si>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</si>
  <si>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</si>
  <si>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</si>
  <si>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</si>
  <si>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</si>
  <si>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</si>
  <si>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</si>
  <si>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</si>
  <si>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</si>
  <si>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</si>
  <si>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</si>
  <si>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</si>
  <si>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</si>
  <si>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</si>
  <si>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</si>
  <si>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</si>
  <si>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</si>
  <si>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</si>
  <si>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</si>
  <si>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</si>
  <si>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</si>
  <si>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</si>
  <si>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</si>
  <si>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</si>
  <si>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</si>
  <si>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</si>
  <si>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</si>
  <si>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</si>
  <si>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</si>
  <si>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</si>
  <si>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</si>
  <si>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</si>
  <si>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</si>
  <si>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</si>
  <si>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</si>
  <si>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</si>
  <si>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</si>
  <si>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</si>
  <si>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</si>
  <si>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</si>
  <si>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</si>
  <si>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</si>
  <si>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</si>
  <si>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</si>
  <si>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</si>
  <si>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</si>
  <si>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</si>
  <si>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</si>
  <si>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</si>
  <si>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</si>
  <si>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</si>
  <si>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</si>
  <si>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</si>
  <si>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</si>
  <si>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</si>
  <si>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</si>
  <si>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</si>
  <si>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</si>
  <si>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</si>
  <si>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</si>
  <si>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</si>
  <si>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</si>
  <si>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</si>
  <si>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</si>
  <si>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</si>
  <si>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</si>
  <si>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</si>
  <si>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</si>
  <si>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</si>
  <si>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</si>
  <si>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</si>
  <si>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</si>
  <si>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</si>
  <si>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</si>
  <si>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</si>
  <si>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</si>
  <si>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</si>
  <si>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</si>
  <si>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</si>
  <si>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</si>
  <si>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</si>
  <si>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</si>
  <si>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</si>
  <si>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</si>
  <si>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</si>
  <si>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</si>
  <si>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</si>
  <si>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</si>
  <si>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</si>
  <si>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</si>
  <si>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</si>
  <si>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</si>
  <si>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</si>
  <si>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</si>
  <si>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</si>
  <si>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</si>
  <si>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</si>
  <si>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</si>
  <si>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</si>
  <si>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</si>
  <si>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</si>
  <si>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</si>
  <si>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</si>
  <si>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</si>
  <si>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</si>
  <si>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</si>
  <si>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</si>
  <si>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</si>
  <si>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</si>
  <si>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</si>
  <si>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</si>
  <si>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</si>
  <si>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</si>
  <si>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</si>
  <si>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</si>
  <si>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</si>
  <si>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</si>
  <si>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</si>
  <si>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</si>
  <si>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</si>
  <si>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</si>
  <si>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</si>
  <si>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</si>
  <si>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</si>
  <si>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</si>
  <si>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</si>
  <si>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</si>
  <si>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</si>
  <si>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</si>
  <si>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</si>
  <si>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</si>
  <si>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</si>
  <si>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</si>
  <si>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</si>
  <si>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</si>
  <si>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</si>
  <si>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</si>
  <si>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</si>
  <si>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</si>
  <si>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</si>
  <si>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</si>
  <si>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</si>
  <si>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</si>
  <si>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</si>
  <si>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</si>
  <si>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</si>
  <si>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</si>
  <si>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</si>
  <si>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</si>
  <si>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</si>
  <si>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</si>
  <si>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</si>
  <si>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</si>
  <si>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</si>
  <si>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</si>
  <si>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</si>
  <si>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</si>
  <si>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</si>
  <si>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</si>
  <si>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</si>
  <si>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</si>
  <si>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</si>
  <si>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</si>
  <si>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</si>
  <si>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</si>
  <si>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</si>
  <si>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</si>
  <si>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</si>
  <si>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</si>
  <si>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</si>
  <si>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</si>
  <si>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</si>
  <si>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</si>
  <si>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</si>
  <si>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</si>
  <si>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</si>
  <si>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</si>
  <si>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</si>
  <si>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</si>
  <si>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</si>
  <si>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</si>
  <si>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</si>
  <si>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</si>
  <si>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</si>
  <si>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</si>
  <si>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</si>
  <si>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</si>
  <si>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</si>
  <si>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</si>
  <si>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</si>
  <si>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</si>
  <si>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</si>
  <si>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</si>
  <si>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</si>
  <si>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</si>
  <si>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</si>
  <si>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</si>
  <si>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</si>
  <si>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</si>
  <si>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</si>
  <si>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</si>
  <si>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</si>
  <si>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</si>
  <si>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</si>
  <si>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</si>
  <si>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</si>
  <si>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</si>
  <si>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</si>
  <si>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</si>
  <si>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</si>
  <si>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</si>
  <si>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</si>
  <si>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</si>
  <si>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</si>
  <si>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</si>
  <si>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</si>
  <si>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</si>
  <si>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</si>
  <si>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</si>
  <si>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</si>
  <si>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</si>
  <si>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</si>
  <si>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</si>
  <si>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</si>
  <si>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</si>
  <si>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</si>
  <si>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</si>
  <si>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</si>
  <si>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</si>
  <si>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</si>
  <si>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</si>
  <si>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</si>
  <si>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</si>
  <si>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</si>
  <si>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</si>
  <si>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</si>
  <si>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</si>
  <si>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</si>
  <si>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</si>
  <si>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</si>
  <si>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</si>
  <si>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</si>
  <si>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</si>
  <si>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</si>
  <si>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</si>
  <si>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</si>
  <si>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</si>
  <si>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</si>
  <si>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</si>
  <si>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</si>
  <si>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</si>
  <si>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</si>
  <si>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</si>
  <si>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</si>
  <si>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</si>
  <si>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</si>
  <si>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</si>
  <si>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</si>
  <si>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</si>
  <si>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</si>
  <si>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</si>
  <si>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</si>
  <si>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</si>
  <si>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</si>
  <si>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</si>
  <si>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</si>
  <si>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</si>
  <si>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</si>
  <si>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</si>
  <si>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</si>
  <si>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</si>
  <si>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</si>
  <si>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</si>
  <si>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</si>
  <si>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</si>
  <si>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</si>
  <si>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</si>
  <si>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</si>
  <si>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</si>
  <si>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</si>
  <si>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</si>
  <si>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</si>
  <si>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</si>
  <si>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</si>
  <si>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</si>
  <si>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</si>
  <si>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</si>
  <si>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</si>
  <si>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</si>
  <si>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</si>
  <si>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</si>
  <si>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</si>
  <si>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</si>
  <si>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</si>
  <si>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</si>
  <si>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</si>
  <si>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</si>
  <si>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</si>
  <si>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</si>
  <si>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</si>
  <si>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</si>
  <si>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</si>
  <si>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</si>
  <si>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</si>
  <si>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</si>
  <si>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</si>
  <si>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</si>
  <si>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</si>
  <si>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</si>
  <si>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</si>
  <si>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</si>
  <si>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</si>
  <si>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</si>
  <si>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</si>
  <si>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</si>
  <si>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</si>
  <si>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</si>
  <si>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</si>
  <si>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</si>
  <si>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</si>
  <si>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</si>
  <si>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</si>
  <si>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</si>
  <si>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</si>
  <si>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</si>
  <si>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</si>
  <si>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</si>
  <si>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</si>
  <si>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</si>
  <si>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</si>
  <si>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</si>
  <si>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</si>
  <si>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</si>
  <si>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</si>
  <si>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</si>
  <si>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</si>
  <si>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</si>
  <si>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</si>
  <si>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</si>
  <si>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</si>
  <si>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</si>
  <si>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</si>
  <si>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</si>
  <si>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</si>
  <si>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</si>
  <si>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</si>
  <si>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</si>
  <si>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</si>
  <si>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</si>
  <si>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</si>
  <si>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</si>
  <si>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</si>
  <si>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</si>
  <si>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</si>
  <si>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</si>
  <si>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</si>
  <si>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</si>
  <si>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</si>
  <si>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</si>
  <si>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</si>
  <si>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</si>
  <si>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</si>
  <si>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</si>
  <si>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</si>
  <si>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</si>
  <si>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</si>
  <si>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</si>
  <si>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</si>
  <si>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</si>
  <si>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</si>
  <si>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</si>
  <si>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</si>
  <si>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</si>
  <si>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</si>
  <si>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</si>
  <si>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</si>
  <si>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</si>
  <si>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</si>
  <si>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</si>
  <si>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</si>
  <si>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</si>
  <si>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</si>
  <si>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</si>
  <si>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</si>
  <si>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</si>
  <si>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</si>
  <si>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</si>
  <si>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</si>
  <si>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</si>
  <si>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</si>
  <si>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</si>
  <si>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</si>
  <si>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</si>
  <si>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</si>
  <si>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</si>
  <si>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</si>
  <si>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</si>
  <si>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</si>
  <si>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</si>
  <si>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</si>
  <si>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</si>
  <si>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</si>
  <si>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</si>
  <si>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</si>
  <si>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</si>
  <si>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</si>
  <si>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</si>
  <si>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</si>
  <si>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</si>
  <si>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</si>
  <si>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</si>
  <si>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</si>
  <si>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</si>
  <si>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</si>
  <si>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</si>
  <si>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</si>
  <si>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</si>
  <si>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</si>
  <si>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</si>
  <si>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</si>
  <si>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</si>
  <si>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</si>
  <si>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</si>
  <si>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</si>
  <si>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</si>
  <si>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</si>
  <si>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</si>
  <si>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</si>
  <si>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</si>
  <si>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</si>
  <si>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</si>
  <si>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</si>
  <si>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</si>
  <si>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</si>
  <si>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</si>
  <si>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</si>
  <si>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</si>
  <si>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</si>
  <si>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</si>
  <si>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</si>
  <si>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</si>
  <si>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</si>
  <si>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</si>
  <si>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</si>
  <si>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</si>
  <si>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</si>
  <si>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</si>
  <si>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</si>
  <si>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</si>
  <si>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</si>
  <si>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</si>
  <si>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</si>
  <si>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</si>
  <si>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</si>
  <si>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</si>
  <si>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</si>
  <si>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</si>
  <si>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</si>
  <si>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</si>
  <si>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</si>
  <si>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</si>
  <si>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</si>
  <si>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</si>
  <si>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</si>
  <si>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</si>
  <si>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</si>
  <si>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</si>
  <si>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</si>
  <si>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</si>
  <si>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</si>
  <si>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</si>
  <si>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</si>
  <si>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</si>
  <si>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</si>
  <si>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</si>
  <si>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</si>
  <si>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</si>
  <si>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</si>
  <si>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</si>
  <si>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</si>
  <si>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</si>
  <si>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</si>
  <si>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</si>
  <si>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</si>
  <si>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</si>
  <si>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</si>
  <si>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</si>
  <si>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</si>
  <si>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</si>
  <si>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</si>
  <si>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</si>
  <si>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</si>
  <si>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</si>
  <si>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</si>
  <si>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</si>
  <si>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</si>
  <si>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</si>
  <si>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</si>
  <si>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</si>
  <si>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</si>
  <si>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</si>
  <si>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</si>
  <si>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</si>
  <si>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</si>
  <si>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</si>
  <si>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</si>
  <si>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</si>
  <si>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</si>
  <si>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</si>
  <si>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</si>
  <si>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</si>
  <si>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</si>
  <si>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</si>
  <si>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</si>
  <si>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</si>
  <si>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</si>
  <si>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</si>
  <si>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</si>
  <si>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</si>
  <si>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</si>
  <si>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</si>
  <si>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</si>
  <si>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</si>
  <si>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</si>
  <si>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</si>
  <si>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</si>
  <si>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</si>
  <si>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</si>
  <si>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</si>
  <si>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</si>
  <si>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</si>
  <si>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</si>
  <si>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</si>
  <si>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</si>
  <si>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</si>
  <si>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</si>
  <si>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</si>
  <si>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</si>
  <si>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</si>
  <si>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</si>
  <si>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</si>
  <si>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</si>
  <si>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</si>
  <si>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</si>
  <si>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</si>
  <si>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</si>
  <si>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</si>
  <si>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</si>
  <si>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</si>
  <si>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</si>
  <si>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</si>
  <si>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</si>
  <si>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</si>
  <si>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</si>
  <si>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</si>
  <si>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</si>
  <si>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</si>
  <si>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</si>
  <si>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</si>
  <si>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</si>
  <si>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</si>
  <si>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</si>
  <si>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</si>
  <si>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</si>
  <si>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</si>
  <si>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</si>
  <si>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</si>
  <si>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</si>
  <si>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</si>
  <si>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</si>
  <si>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</si>
  <si>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</si>
  <si>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</si>
  <si>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</si>
  <si>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</si>
  <si>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</si>
  <si>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</si>
  <si>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</si>
  <si>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</si>
  <si>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</si>
  <si>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</si>
  <si>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</si>
  <si>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</si>
  <si>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</si>
  <si>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</si>
  <si>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</si>
  <si>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</si>
  <si>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</si>
  <si>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</si>
  <si>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</si>
  <si>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</si>
  <si>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</si>
  <si>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</si>
  <si>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</si>
  <si>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</si>
  <si>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</si>
  <si>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</si>
  <si>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</si>
  <si>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</si>
  <si>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</si>
  <si>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</si>
  <si>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</si>
  <si>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</si>
  <si>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</si>
  <si>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</si>
  <si>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</si>
  <si>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</si>
  <si>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</si>
  <si>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</si>
  <si>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</si>
  <si>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</si>
  <si>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</si>
  <si>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</si>
  <si>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</si>
  <si>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</si>
  <si>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</si>
  <si>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</si>
  <si>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</si>
  <si>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</si>
  <si>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</si>
  <si>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</si>
  <si>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</si>
  <si>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</si>
  <si>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</si>
  <si>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</si>
  <si>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</si>
  <si>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</si>
  <si>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</si>
  <si>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</si>
  <si>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</si>
  <si>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</si>
  <si>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</si>
  <si>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</si>
  <si>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</si>
  <si>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</si>
  <si>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</si>
  <si>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</si>
  <si>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</si>
  <si>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</si>
  <si>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</si>
  <si>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</si>
  <si>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</si>
  <si>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</si>
  <si>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</si>
  <si>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</si>
  <si>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</si>
  <si>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</si>
  <si>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</si>
  <si>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</si>
  <si>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</si>
  <si>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</si>
  <si>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</si>
  <si>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</si>
  <si>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</si>
  <si>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</si>
  <si>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</si>
  <si>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</si>
  <si>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</si>
  <si>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</si>
  <si>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</si>
  <si>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</si>
  <si>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</si>
  <si>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</si>
  <si>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</si>
  <si>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</si>
  <si>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</si>
  <si>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</si>
  <si>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</si>
  <si>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</si>
  <si>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</si>
  <si>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</si>
  <si>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</si>
  <si>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</si>
  <si>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</si>
  <si>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</si>
  <si>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</si>
  <si>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</si>
  <si>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</si>
  <si>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</si>
  <si>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</si>
  <si>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</si>
  <si>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</si>
  <si>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</si>
  <si>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</si>
  <si>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</si>
  <si>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</si>
  <si>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</si>
  <si>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</si>
  <si>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</si>
  <si>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</si>
  <si>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</si>
  <si>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</si>
  <si>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</si>
  <si>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</si>
  <si>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</si>
  <si>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</si>
  <si>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</si>
  <si>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</si>
  <si>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</si>
  <si>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</si>
  <si>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</si>
  <si>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</si>
  <si>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</si>
  <si>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</si>
  <si>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</si>
  <si>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</si>
  <si>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</si>
  <si>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</si>
  <si>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</si>
  <si>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</si>
  <si>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</si>
  <si>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</si>
  <si>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</si>
  <si>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</si>
  <si>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</si>
  <si>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</si>
  <si>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</si>
  <si>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</si>
  <si>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</si>
  <si>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</si>
  <si>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</si>
  <si>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</si>
  <si>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</si>
  <si>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</si>
  <si>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</si>
  <si>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</si>
  <si>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</si>
  <si>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</si>
  <si>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</si>
  <si>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</si>
  <si>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</si>
  <si>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</si>
  <si>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</si>
  <si>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</si>
  <si>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</si>
  <si>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</si>
  <si>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</si>
  <si>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</si>
  <si>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</si>
  <si>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</si>
  <si>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</si>
  <si>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</si>
  <si>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</si>
  <si>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</si>
  <si>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</si>
  <si>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</si>
  <si>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</si>
  <si>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</si>
  <si>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</si>
  <si>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</si>
  <si>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</si>
  <si>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</si>
  <si>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</si>
  <si>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</si>
  <si>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</si>
  <si>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</si>
  <si>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</si>
  <si>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</si>
  <si>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</si>
  <si>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</si>
  <si>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</si>
  <si>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</si>
  <si>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</si>
  <si>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</si>
  <si>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</si>
  <si>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</si>
  <si>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</si>
  <si>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</si>
  <si>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</si>
  <si>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</si>
  <si>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</si>
  <si>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</si>
  <si>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</si>
  <si>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</si>
  <si>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</si>
  <si>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</si>
  <si>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</si>
  <si>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</si>
  <si>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</si>
  <si>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</si>
  <si>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</si>
  <si>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</si>
  <si>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</si>
  <si>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</si>
  <si>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</si>
  <si>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</si>
  <si>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</si>
  <si>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</si>
  <si>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</si>
  <si>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</si>
  <si>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</si>
  <si>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</si>
  <si>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</si>
  <si>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</si>
  <si>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</si>
  <si>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</si>
  <si>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</si>
  <si>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</si>
  <si>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</si>
  <si>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</si>
  <si>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</si>
  <si>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</si>
  <si>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</si>
  <si>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</si>
  <si>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</si>
  <si>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</si>
  <si>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</si>
  <si>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</si>
  <si>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</si>
  <si>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</si>
  <si>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</si>
  <si>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</si>
  <si>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</si>
  <si>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</si>
  <si>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</si>
  <si>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</si>
  <si>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</si>
  <si>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</si>
  <si>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</si>
  <si>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</si>
  <si>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</si>
  <si>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</si>
  <si>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</si>
  <si>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</si>
  <si>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</si>
  <si>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</si>
  <si>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</si>
  <si>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</si>
  <si>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</si>
  <si>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</si>
  <si>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</si>
  <si>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</si>
  <si>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</si>
  <si>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</si>
  <si>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</si>
  <si>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</si>
  <si>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</si>
  <si>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</si>
  <si>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</si>
  <si>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</si>
  <si>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</si>
  <si>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</si>
  <si>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</si>
  <si>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</si>
  <si>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</si>
  <si>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</si>
  <si>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</si>
  <si>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</si>
  <si>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</si>
  <si>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</si>
  <si>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</si>
  <si>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</si>
  <si>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</si>
  <si>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</si>
  <si>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</si>
  <si>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</si>
  <si>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</si>
  <si>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</si>
  <si>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</si>
  <si>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</si>
  <si>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</si>
  <si>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</si>
  <si>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</si>
  <si>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</si>
  <si>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</si>
  <si>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</si>
  <si>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</si>
  <si>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</si>
  <si>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</si>
  <si>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</si>
  <si>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</si>
  <si>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</si>
  <si>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</si>
  <si>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</si>
  <si>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</si>
  <si>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</si>
  <si>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</si>
  <si>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</si>
  <si>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</si>
  <si>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</si>
  <si>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</si>
  <si>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</si>
  <si>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</si>
  <si>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</si>
  <si>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</si>
  <si>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</si>
  <si>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</si>
  <si>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</si>
  <si>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</si>
  <si>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</si>
  <si>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</si>
  <si>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</si>
  <si>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</si>
  <si>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</si>
  <si>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</si>
  <si>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</si>
  <si>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</si>
  <si>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</si>
  <si>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</si>
  <si>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</si>
  <si>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</si>
  <si>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</si>
  <si>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</si>
  <si>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</si>
  <si>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</si>
  <si>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</si>
  <si>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</si>
  <si>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</si>
  <si>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</si>
  <si>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</si>
  <si>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</si>
  <si>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</si>
  <si>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</si>
  <si>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</si>
  <si>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</si>
  <si>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</si>
  <si>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</si>
  <si>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</si>
  <si>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</si>
  <si>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</si>
  <si>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</si>
  <si>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</si>
  <si>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</si>
  <si>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</si>
  <si>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</si>
  <si>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</si>
  <si>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</si>
  <si>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</si>
  <si>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</si>
  <si>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</si>
  <si>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</si>
  <si>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</si>
  <si>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</si>
  <si>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</si>
  <si>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</si>
  <si>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</si>
  <si>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</si>
  <si>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</si>
  <si>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</si>
  <si>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</si>
  <si>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</si>
  <si>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</si>
  <si>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</si>
  <si>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</si>
  <si>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</si>
  <si>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</si>
  <si>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</si>
  <si>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</si>
  <si>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</si>
  <si>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</si>
  <si>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</si>
  <si>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</si>
  <si>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</si>
  <si>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</si>
  <si>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</si>
  <si>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</si>
  <si>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</si>
  <si>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</si>
  <si>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</si>
  <si>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</si>
  <si>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</si>
  <si>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</si>
  <si>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</si>
  <si>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</si>
  <si>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</si>
  <si>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</si>
  <si>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</si>
  <si>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</si>
  <si>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</si>
  <si>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</si>
  <si>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</si>
  <si>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</si>
  <si>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</si>
  <si>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</si>
  <si>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</si>
  <si>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</si>
  <si>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</si>
  <si>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</si>
  <si>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</si>
  <si>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</si>
  <si>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</si>
  <si>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</si>
  <si>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</si>
  <si>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</si>
  <si>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</si>
  <si>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</si>
  <si>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</si>
  <si>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</si>
  <si>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</si>
  <si>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</si>
  <si>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</si>
  <si>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</si>
  <si>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</si>
  <si>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</si>
  <si>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</si>
  <si>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</si>
  <si>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</si>
  <si>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</si>
  <si>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</si>
  <si>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</si>
  <si>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</si>
  <si>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</si>
  <si>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</si>
  <si>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</si>
  <si>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</si>
  <si>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</si>
  <si>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</si>
  <si>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</si>
  <si>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</si>
  <si>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</si>
  <si>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</si>
  <si>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</si>
  <si>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</si>
  <si>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</si>
  <si>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</si>
  <si>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</si>
  <si>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</si>
  <si>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</si>
  <si>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</si>
  <si>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</si>
  <si>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</si>
  <si>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</si>
  <si>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</si>
  <si>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</si>
  <si>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</si>
  <si>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</si>
  <si>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</si>
  <si>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</si>
  <si>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</si>
  <si>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</si>
  <si>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</si>
  <si>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</si>
  <si>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</si>
  <si>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</si>
  <si>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</si>
  <si>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</si>
  <si>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</si>
  <si>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</si>
  <si>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</si>
  <si>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</si>
  <si>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</si>
  <si>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</si>
  <si>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</si>
  <si>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</si>
  <si>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</si>
  <si>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</si>
  <si>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</si>
  <si>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</si>
  <si>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</si>
  <si>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</si>
  <si>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</si>
  <si>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</si>
  <si>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</si>
  <si>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</si>
  <si>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</si>
  <si>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</si>
  <si>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</si>
  <si>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</si>
  <si>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</si>
  <si>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</si>
  <si>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</si>
  <si>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</si>
  <si>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</si>
  <si>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</si>
  <si>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</si>
  <si>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</si>
  <si>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</si>
  <si>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</si>
  <si>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</si>
  <si>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</si>
  <si>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</si>
  <si>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</si>
  <si>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</si>
  <si>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</si>
  <si>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</si>
  <si>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</si>
  <si>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</si>
  <si>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</si>
  <si>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</si>
  <si>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</si>
  <si>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</si>
  <si>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</si>
  <si>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</si>
  <si>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</si>
  <si>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</si>
  <si>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</si>
  <si>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</si>
  <si>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</si>
  <si>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</si>
  <si>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</si>
  <si>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</si>
  <si>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</si>
  <si>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</si>
  <si>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</si>
  <si>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</si>
  <si>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</si>
  <si>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</si>
  <si>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</si>
  <si>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</si>
  <si>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</si>
  <si>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</si>
  <si>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</si>
  <si>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</si>
  <si>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</si>
  <si>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</si>
  <si>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</si>
  <si>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</si>
  <si>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</si>
  <si>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</si>
  <si>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</si>
  <si>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</si>
  <si>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</si>
  <si>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</si>
  <si>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</si>
  <si>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</si>
  <si>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</si>
  <si>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</si>
  <si>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</si>
  <si>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</si>
  <si>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</si>
  <si>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</si>
  <si>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</si>
  <si>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</si>
  <si>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</si>
  <si>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</si>
  <si>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</si>
  <si>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</si>
  <si>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</si>
  <si>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</si>
  <si>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</si>
  <si>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</si>
  <si>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</si>
  <si>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</si>
  <si>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</si>
  <si>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</si>
  <si>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</si>
  <si>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</si>
  <si>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</si>
  <si>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</si>
  <si>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</si>
  <si>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</si>
  <si>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</si>
  <si>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</si>
  <si>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</si>
  <si>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</si>
  <si>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</si>
  <si>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</si>
  <si>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</si>
  <si>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</si>
  <si>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</si>
  <si>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</si>
  <si>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</si>
  <si>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</si>
  <si>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</si>
  <si>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</si>
  <si>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</si>
  <si>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</si>
  <si>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</si>
  <si>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</si>
  <si>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</si>
  <si>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</si>
  <si>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</si>
  <si>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</si>
  <si>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</si>
  <si>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</si>
  <si>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</si>
  <si>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</si>
  <si>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</si>
  <si>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</si>
  <si>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</si>
  <si>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</si>
  <si>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</si>
  <si>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</si>
  <si>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</si>
  <si>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</si>
  <si>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</si>
  <si>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</si>
  <si>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</si>
  <si>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</si>
  <si>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</si>
  <si>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</si>
  <si>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</si>
  <si>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</si>
  <si>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</si>
  <si>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</si>
  <si>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</si>
  <si>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</si>
  <si>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</si>
  <si>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</si>
  <si>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</si>
  <si>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</si>
  <si>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</si>
  <si>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</si>
  <si>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</si>
  <si>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</si>
  <si>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</si>
  <si>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</si>
  <si>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</si>
  <si>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</si>
  <si>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</si>
  <si>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</si>
  <si>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</si>
  <si>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</si>
  <si>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</si>
  <si>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</si>
  <si>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</si>
  <si>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</si>
  <si>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</si>
  <si>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</si>
  <si>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</si>
  <si>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</si>
  <si>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</si>
  <si>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</si>
  <si>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</si>
  <si>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</si>
  <si>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</si>
  <si>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</si>
  <si>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</si>
  <si>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</si>
  <si>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</si>
  <si>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</si>
  <si>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</si>
  <si>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</si>
  <si>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</si>
  <si>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</si>
  <si>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</si>
  <si>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</si>
  <si>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</si>
  <si>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</si>
  <si>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</si>
  <si>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</si>
  <si>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</si>
  <si>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</si>
  <si>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</si>
  <si>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</si>
  <si>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</si>
  <si>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</si>
  <si>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</si>
  <si>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</si>
  <si>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</si>
  <si>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</si>
  <si>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</si>
  <si>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</si>
  <si>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</si>
  <si>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</si>
  <si>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</si>
  <si>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</si>
  <si>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</si>
  <si>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</si>
  <si>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</si>
  <si>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</si>
  <si>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</si>
  <si>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</si>
  <si>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</si>
  <si>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</si>
  <si>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</si>
  <si>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</si>
  <si>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</si>
  <si>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</si>
  <si>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</si>
  <si>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</si>
  <si>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</si>
  <si>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</si>
  <si>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</si>
  <si>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</si>
  <si>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</si>
  <si>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</si>
  <si>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</si>
  <si>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</si>
  <si>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</si>
  <si>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</si>
  <si>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</si>
  <si>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</si>
  <si>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</si>
  <si>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</si>
  <si>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</si>
  <si>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</si>
  <si>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</si>
  <si>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</si>
  <si>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</si>
  <si>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</si>
  <si>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</si>
  <si>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</si>
  <si>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</si>
  <si>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</si>
  <si>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</si>
  <si>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</si>
  <si>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</si>
  <si>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</si>
  <si>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</si>
  <si>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</si>
  <si>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</si>
  <si>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</si>
  <si>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</si>
  <si>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</si>
  <si>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</si>
  <si>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</si>
  <si>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</si>
  <si>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</si>
  <si>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</si>
  <si>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</si>
  <si>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</si>
  <si>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</si>
  <si>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</si>
  <si>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</si>
  <si>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</si>
  <si>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</si>
  <si>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</si>
  <si>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</si>
  <si>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</si>
  <si>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</si>
  <si>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</si>
  <si>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</si>
  <si>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</si>
  <si>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</si>
  <si>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</si>
  <si>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</si>
  <si>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</si>
  <si>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</si>
  <si>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</si>
  <si>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</si>
  <si>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</si>
  <si>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</si>
  <si>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</si>
  <si>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</si>
  <si>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</si>
  <si>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</si>
  <si>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</si>
  <si>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</si>
  <si>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</si>
  <si>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</si>
  <si>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</si>
  <si>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</si>
  <si>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</si>
  <si>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</si>
  <si>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</si>
  <si>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</si>
  <si>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</si>
  <si>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</si>
  <si>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</si>
  <si>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</si>
  <si>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</si>
  <si>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</si>
  <si>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</si>
  <si>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</si>
  <si>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</si>
  <si>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</si>
  <si>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</si>
  <si>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</si>
  <si>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</si>
  <si>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</si>
  <si>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</si>
  <si>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</si>
  <si>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</si>
  <si>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</si>
  <si>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</si>
  <si>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</si>
  <si>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</si>
  <si>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</si>
  <si>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</si>
  <si>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</si>
  <si>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</si>
  <si>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</si>
  <si>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</si>
  <si>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</si>
  <si>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</si>
  <si>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</si>
  <si>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</si>
  <si>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</si>
  <si>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</si>
  <si>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</si>
  <si>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</si>
  <si>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</si>
  <si>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</si>
  <si>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</si>
  <si>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</si>
  <si>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</si>
  <si>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</si>
  <si>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</si>
  <si>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</si>
  <si>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</si>
  <si>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</si>
  <si>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</si>
  <si>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</si>
  <si>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</si>
  <si>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</si>
  <si>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</si>
  <si>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</si>
  <si>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</si>
  <si>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</si>
  <si>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</si>
  <si>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</si>
  <si>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</si>
  <si>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</si>
  <si>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</si>
  <si>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</si>
  <si>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</si>
  <si>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</si>
  <si>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</si>
  <si>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</si>
  <si>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</si>
  <si>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</si>
  <si>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</si>
  <si>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</si>
  <si>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</si>
  <si>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</si>
  <si>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</si>
  <si>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</si>
  <si>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</si>
  <si>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</si>
  <si>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</si>
  <si>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</si>
  <si>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</si>
  <si>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</si>
  <si>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</si>
  <si>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</si>
  <si>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</si>
  <si>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</si>
  <si>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</si>
  <si>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</si>
  <si>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</si>
  <si>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</si>
  <si>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</si>
  <si>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</si>
  <si>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</si>
  <si>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</si>
  <si>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</si>
  <si>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</si>
  <si>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</si>
  <si>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</si>
  <si>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</si>
  <si>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</si>
  <si>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</si>
  <si>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</si>
  <si>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</si>
  <si>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</si>
  <si>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</si>
  <si>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</si>
  <si>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</si>
  <si>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</si>
  <si>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</si>
  <si>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</si>
  <si>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</si>
  <si>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</si>
  <si>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</si>
  <si>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</si>
  <si>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</si>
  <si>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</si>
  <si>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</si>
  <si>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</si>
  <si>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</si>
  <si>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</si>
  <si>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</si>
  <si>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</si>
  <si>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</si>
  <si>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</si>
  <si>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</si>
  <si>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</si>
  <si>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</si>
  <si>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</si>
  <si>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</si>
  <si>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</si>
  <si>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</si>
  <si>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</si>
  <si>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</si>
  <si>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</si>
  <si>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</si>
  <si>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</si>
  <si>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</si>
  <si>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</si>
  <si>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</si>
  <si>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</si>
  <si>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</si>
  <si>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</si>
  <si>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</si>
  <si>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</si>
  <si>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</si>
  <si>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</si>
  <si>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</si>
  <si>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</si>
  <si>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</si>
  <si>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</si>
  <si>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</si>
  <si>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</si>
  <si>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</si>
  <si>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</si>
  <si>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</si>
  <si>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</si>
  <si>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</si>
  <si>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</si>
  <si>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</si>
  <si>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</si>
  <si>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</si>
  <si>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</si>
  <si>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</si>
  <si>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</si>
  <si>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</si>
  <si>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</si>
  <si>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</si>
  <si>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</si>
  <si>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</si>
  <si>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</si>
  <si>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</si>
  <si>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</si>
  <si>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</si>
  <si>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</si>
  <si>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</si>
  <si>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</si>
  <si>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</si>
  <si>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</si>
  <si>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</si>
  <si>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</si>
  <si>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</si>
  <si>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</si>
  <si>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</si>
  <si>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</si>
  <si>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</si>
  <si>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</si>
  <si>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</si>
  <si>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</si>
  <si>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</si>
  <si>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</si>
  <si>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</si>
  <si>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</si>
  <si>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</si>
  <si>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</si>
  <si>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</si>
  <si>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</si>
  <si>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</si>
  <si>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</si>
  <si>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</si>
  <si>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</si>
  <si>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</si>
  <si>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</si>
  <si>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</si>
  <si>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</si>
  <si>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</si>
  <si>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</si>
  <si>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</si>
  <si>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</si>
  <si>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</si>
  <si>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</si>
  <si>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</si>
  <si>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</si>
  <si>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</si>
  <si>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</si>
  <si>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</si>
  <si>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</si>
  <si>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</si>
  <si>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</si>
  <si>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</si>
  <si>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</si>
  <si>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</si>
  <si>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</si>
  <si>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</si>
  <si>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</si>
  <si>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</si>
  <si>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</si>
  <si>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</si>
  <si>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</si>
  <si>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</si>
  <si>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</si>
  <si>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</si>
  <si>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</si>
  <si>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</si>
  <si>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</si>
  <si>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</si>
  <si>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</si>
  <si>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</si>
  <si>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</si>
  <si>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</si>
  <si>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</si>
  <si>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</si>
  <si>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</si>
  <si>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</si>
  <si>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</si>
  <si>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</si>
  <si>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</si>
  <si>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</si>
  <si>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</si>
  <si>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</si>
  <si>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</si>
  <si>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</si>
  <si>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</si>
  <si>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</si>
  <si>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</si>
  <si>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</si>
  <si>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</si>
  <si>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</si>
  <si>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</si>
  <si>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</si>
  <si>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</si>
  <si>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</si>
  <si>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</si>
  <si>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</si>
  <si>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</si>
  <si>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</si>
  <si>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</si>
  <si>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</si>
  <si>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</si>
  <si>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</si>
  <si>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</si>
  <si>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</si>
  <si>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</si>
  <si>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</si>
  <si>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</si>
  <si>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</si>
  <si>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</si>
  <si>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</si>
  <si>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</si>
  <si>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</si>
  <si>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</si>
  <si>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</si>
  <si>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</si>
  <si>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</si>
  <si>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</si>
  <si>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</si>
  <si>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</si>
  <si>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</si>
  <si>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</si>
  <si>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</si>
  <si>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</si>
  <si>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</si>
  <si>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</si>
  <si>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</si>
  <si>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</si>
  <si>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</si>
  <si>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</si>
  <si>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</si>
  <si>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</si>
  <si>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</si>
  <si>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</si>
  <si>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</si>
  <si>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</si>
  <si>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</si>
  <si>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</si>
  <si>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</si>
  <si>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</si>
  <si>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</si>
  <si>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</si>
  <si>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</si>
  <si>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</si>
  <si>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</si>
  <si>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</si>
  <si>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</si>
  <si>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</si>
  <si>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</si>
  <si>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</si>
  <si>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</si>
  <si>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</si>
  <si>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</si>
  <si>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</si>
  <si>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</si>
  <si>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</si>
  <si>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</si>
  <si>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</si>
  <si>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</si>
  <si>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</si>
  <si>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</si>
  <si>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</si>
  <si>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</si>
  <si>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</si>
  <si>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</si>
  <si>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</si>
  <si>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</si>
  <si>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</si>
  <si>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</si>
  <si>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</si>
  <si>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</si>
  <si>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</si>
  <si>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</si>
  <si>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</si>
  <si>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</si>
  <si>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</si>
  <si>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</si>
  <si>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</si>
  <si>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</si>
  <si>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</si>
  <si>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</si>
  <si>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</si>
  <si>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</si>
  <si>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</si>
  <si>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</si>
  <si>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</si>
  <si>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</si>
  <si>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</si>
  <si>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</si>
  <si>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</si>
  <si>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</si>
  <si>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</si>
  <si>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</si>
  <si>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</si>
  <si>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</si>
  <si>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</si>
  <si>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</si>
  <si>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</si>
  <si>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</si>
  <si>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</si>
  <si>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</si>
  <si>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</si>
  <si>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</si>
  <si>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</si>
  <si>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</si>
  <si>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</si>
  <si>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</si>
  <si>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</si>
  <si>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</si>
  <si>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</si>
  <si>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</si>
  <si>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</si>
  <si>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</si>
  <si>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</si>
  <si>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</si>
  <si>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</si>
  <si>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</si>
  <si>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</si>
  <si>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</si>
  <si>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</si>
  <si>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</si>
  <si>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</si>
  <si>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</si>
  <si>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</si>
  <si>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</si>
  <si>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</si>
  <si>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</si>
  <si>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</si>
  <si>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</si>
  <si>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</si>
  <si>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</si>
  <si>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</si>
  <si>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</si>
  <si>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</si>
  <si>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</si>
  <si>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</si>
  <si>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</si>
  <si>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</si>
  <si>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</si>
  <si>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</si>
  <si>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</si>
  <si>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</si>
  <si>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</si>
  <si>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</si>
  <si>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</si>
  <si>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</si>
  <si>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</si>
  <si>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</si>
  <si>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</si>
  <si>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</si>
  <si>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</si>
  <si>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</si>
  <si>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</si>
  <si>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</si>
  <si>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</si>
  <si>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</si>
  <si>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</si>
  <si>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</si>
  <si>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</si>
  <si>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</si>
  <si>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</si>
  <si>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</si>
  <si>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</si>
  <si>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</si>
  <si>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</si>
  <si>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BASIC STATISTICS ( Numerical Value)</t>
  </si>
  <si>
    <t xml:space="preserve">QUANTITY </t>
  </si>
  <si>
    <t xml:space="preserve">UNIT PRICE </t>
  </si>
  <si>
    <t>ITEMS IN CART</t>
  </si>
  <si>
    <t xml:space="preserve">TOTAL PRICE </t>
  </si>
  <si>
    <t>METRIC</t>
  </si>
  <si>
    <t>COUNT</t>
  </si>
  <si>
    <t>MEAN</t>
  </si>
  <si>
    <t>MEDIAN</t>
  </si>
  <si>
    <t>BASIC STATISTICS ( Categorical Value)</t>
  </si>
  <si>
    <t xml:space="preserve">ORDER STATUS </t>
  </si>
  <si>
    <t>Count</t>
  </si>
  <si>
    <t>AVERAGE ORDER VALUE BY PAYMENT METHOD</t>
  </si>
  <si>
    <t xml:space="preserve">PAYMENT METHOD </t>
  </si>
  <si>
    <t xml:space="preserve">ORDER COUNT </t>
  </si>
  <si>
    <t>AVERAGE ORDER VALUE</t>
  </si>
  <si>
    <t xml:space="preserve">Online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</si>
</sst>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Fill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1"/>
  <sheetViews>
    <sheetView tabSelected="1" topLeftCell="J10" workbookViewId="0">
      <selection activeCell="S27" sqref="S27"/>
    </sheetView>
  </sheetViews>
  <sheetFormatPr defaultRowHeight="15" x14ac:dyDescent="0.25"/>
  <cols>
    <col min="1" max="1" width="13" customWidth="1"/>
    <col min="2" max="2" width="19.7109375" customWidth="1"/>
    <col min="3" max="3" width="13" customWidth="1"/>
    <col min="4" max="4" width="11" customWidth="1"/>
    <col min="6" max="6" width="12.5703125" customWidth="1"/>
    <col min="7" max="7" width="18" customWidth="1"/>
    <col min="8" max="8" width="15.5703125" customWidth="1"/>
    <col min="9" max="9" width="12.7109375" customWidth="1"/>
    <col min="10" max="10" width="17" customWidth="1"/>
    <col min="11" max="11" width="12.140625" customWidth="1"/>
    <col min="12" max="12" width="13.42578125" customWidth="1"/>
    <col min="13" max="13" width="14.140625" customWidth="1"/>
    <col min="14" max="14" width="11.7109375" customWidth="1"/>
    <col min="17" max="17" width="22" customWidth="1"/>
    <col min="18" max="18" width="17.5703125" customWidth="1"/>
    <col min="19" max="19" width="18.85546875" customWidth="1"/>
    <col min="20" max="20" width="13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1" ht="18.75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Q2" s="6" t="s">
        <v>4283</v>
      </c>
      <c r="R2" s="6"/>
      <c r="S2" s="6"/>
    </row>
    <row r="3" spans="1:21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21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Q4" s="4" t="s">
        <v>4284</v>
      </c>
      <c r="R4" s="3" t="s">
        <v>4285</v>
      </c>
      <c r="S4" s="4" t="s">
        <v>4286</v>
      </c>
      <c r="T4" s="4" t="s">
        <v>4287</v>
      </c>
      <c r="U4" s="4" t="s">
        <v>4288</v>
      </c>
    </row>
    <row r="5" spans="1:21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Q5">
        <f>COUNT(E2:E1201)</f>
        <v>1200</v>
      </c>
      <c r="R5">
        <f>COUNT(F2:F1201)</f>
        <v>1200</v>
      </c>
      <c r="S5">
        <f>COUNT(K2:K1201)</f>
        <v>1200</v>
      </c>
      <c r="T5">
        <f>COUNT(N2:N1201)</f>
        <v>1200</v>
      </c>
      <c r="U5" s="5" t="s">
        <v>4289</v>
      </c>
    </row>
    <row r="6" spans="1:21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Q6">
        <f>AVERAGE(E2:E1201)</f>
        <v>2.9458333333333333</v>
      </c>
      <c r="R6">
        <f>AVERAGE(F2:F1201)</f>
        <v>356.41275000000007</v>
      </c>
      <c r="S6">
        <f>AVERAGE(K2:K1201)</f>
        <v>5.4850000000000003</v>
      </c>
      <c r="T6">
        <f>AVERAGE(N2:N1201)</f>
        <v>1053.9683000000005</v>
      </c>
      <c r="U6" s="5" t="s">
        <v>4290</v>
      </c>
    </row>
    <row r="7" spans="1:21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Q7">
        <f>MEDIAN(E2:E1201)</f>
        <v>3</v>
      </c>
      <c r="R7">
        <f>MEDIAN(F2:F1201)</f>
        <v>364.21</v>
      </c>
      <c r="S7">
        <f>MEDIAN(K2:K1201)</f>
        <v>5</v>
      </c>
      <c r="T7">
        <f>MEDIAN(N2:N1201)</f>
        <v>823.61500000000001</v>
      </c>
      <c r="U7" s="5" t="s">
        <v>4291</v>
      </c>
    </row>
    <row r="8" spans="1:21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21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21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21" ht="21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Q11" s="7" t="s">
        <v>4292</v>
      </c>
    </row>
    <row r="12" spans="1:21" ht="15.75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Q12" s="8" t="s">
        <v>4293</v>
      </c>
      <c r="R12" s="8" t="s">
        <v>4294</v>
      </c>
    </row>
    <row r="13" spans="1:21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Q13" t="s">
        <v>3074</v>
      </c>
      <c r="R13">
        <f>COUNTIF(I2:I1201,I14)</f>
        <v>237</v>
      </c>
    </row>
    <row r="14" spans="1:21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Q14" t="s">
        <v>3070</v>
      </c>
      <c r="R14">
        <f>COUNTIF(I2:I1201,I2)</f>
        <v>235</v>
      </c>
    </row>
    <row r="15" spans="1:21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Q15" t="s">
        <v>3073</v>
      </c>
      <c r="R15">
        <f>COUNTIF(I2:I1201,I6)</f>
        <v>231</v>
      </c>
    </row>
    <row r="16" spans="1:21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Q16" t="s">
        <v>3072</v>
      </c>
      <c r="R16">
        <f>COUNTIF(I2:I1201,I5)</f>
        <v>247</v>
      </c>
    </row>
    <row r="17" spans="1:19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  <c r="Q17" t="s">
        <v>3071</v>
      </c>
      <c r="R17">
        <f>COUNTIF(I2:I1201,I4)</f>
        <v>250</v>
      </c>
    </row>
    <row r="18" spans="1:19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9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9" ht="15.75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Q20" s="8" t="s">
        <v>4295</v>
      </c>
    </row>
    <row r="21" spans="1:19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Q21" t="s">
        <v>4296</v>
      </c>
      <c r="R21" t="s">
        <v>4297</v>
      </c>
      <c r="S21" t="s">
        <v>4298</v>
      </c>
    </row>
    <row r="22" spans="1:19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Q22" t="s">
        <v>3067</v>
      </c>
      <c r="R22">
        <f>COUNTIF(H2:H1201,H4)</f>
        <v>234</v>
      </c>
      <c r="S22">
        <f>AVERAGEIF(H2:H1201,"Credit Card", N2:N1201)</f>
        <v>1127.5539743589738</v>
      </c>
    </row>
    <row r="23" spans="1:19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  <c r="Q23" t="s">
        <v>3065</v>
      </c>
      <c r="R23">
        <f>COUNTIF(H2:H1201,H2)</f>
        <v>232</v>
      </c>
      <c r="S23">
        <f>AVERAGEIF(H2:H1201,"Debit Card",N2:N1201)</f>
        <v>1001.5568103448275</v>
      </c>
    </row>
    <row r="24" spans="1:19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Q24" t="s">
        <v>3069</v>
      </c>
      <c r="R24">
        <f>COUNTIF(H2:H1201,H9)</f>
        <v>246</v>
      </c>
      <c r="S24">
        <f>AVERAGEIF(H2:H1201,"Cash",N2:N1201)</f>
        <v>1056.0418292682923</v>
      </c>
    </row>
    <row r="25" spans="1:19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Q25" t="s">
        <v>4299</v>
      </c>
      <c r="R25">
        <f>COUNTIF(H2:H1201,H3)</f>
        <v>258</v>
      </c>
      <c r="S25">
        <f>AVERAGEIF(H2:H1201,"Online",N2:N1201)</f>
        <v>1017.2206976744191</v>
      </c>
    </row>
    <row r="26" spans="1:19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Q26" t="s">
        <v>3068</v>
      </c>
      <c r="R26">
        <f>COUNTIF(H2:H1201,Q26)</f>
        <v>230</v>
      </c>
      <c r="S26">
        <f>AVERAGEIF(H2:H1201,"Gift Card",N2:N1201)</f>
        <v>1070.9735652173918</v>
      </c>
    </row>
    <row r="27" spans="1:19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9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9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9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9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9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azeez</cp:lastModifiedBy>
  <dcterms:created xsi:type="dcterms:W3CDTF">2025-06-21T13:19:12Z</dcterms:created>
  <dcterms:modified xsi:type="dcterms:W3CDTF">2026-07-07T15:20:10Z</dcterms:modified>
</cp:coreProperties>
</file>